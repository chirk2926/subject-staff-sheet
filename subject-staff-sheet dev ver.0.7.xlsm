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hirk\Downloads\"/>
    </mc:Choice>
  </mc:AlternateContent>
  <xr:revisionPtr revIDLastSave="0" documentId="8_{DDB28206-47C6-4764-8F58-E17B6E5DDBD0}" xr6:coauthVersionLast="47" xr6:coauthVersionMax="47" xr10:uidLastSave="{00000000-0000-0000-0000-000000000000}"/>
  <bookViews>
    <workbookView xWindow="-98" yWindow="-98" windowWidth="19396" windowHeight="11746" xr2:uid="{6853A4E8-B408-41EA-8C07-782F15CF1A42}"/>
  </bookViews>
  <sheets>
    <sheet name="明日の授業" sheetId="7" r:id="rId1"/>
    <sheet name="今日の授業" sheetId="1" r:id="rId2"/>
    <sheet name="ツール" sheetId="15" r:id="rId3"/>
    <sheet name="授業評価" sheetId="17" r:id="rId4"/>
    <sheet name="国語" sheetId="2" r:id="rId5"/>
    <sheet name="数学" sheetId="5" r:id="rId6"/>
    <sheet name="設定" sheetId="3" r:id="rId7"/>
    <sheet name="仕組みメモ" sheetId="4" r:id="rId8"/>
    <sheet name="Sheet1" sheetId="16" r:id="rId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17" l="1"/>
  <c r="G2" i="17"/>
  <c r="H2" i="17"/>
  <c r="O2" i="17"/>
  <c r="P2" i="17"/>
  <c r="Q2" i="17"/>
  <c r="X2" i="17"/>
  <c r="Y2" i="17"/>
  <c r="Z2" i="17"/>
  <c r="AG2" i="17"/>
  <c r="AH2" i="17"/>
  <c r="AI2" i="17"/>
  <c r="AP2" i="17"/>
  <c r="AQ2" i="17"/>
  <c r="AR2" i="17"/>
  <c r="AY2" i="17"/>
  <c r="AZ2" i="17"/>
  <c r="BA2" i="17"/>
  <c r="BH2" i="17"/>
  <c r="BI2" i="17"/>
  <c r="BJ2" i="17"/>
  <c r="BQ2" i="17"/>
  <c r="BR2" i="17"/>
  <c r="BS2" i="17"/>
  <c r="B7" i="2" l="1"/>
  <c r="B8" i="2"/>
  <c r="A4" i="7" l="1"/>
  <c r="B4" i="7" s="1"/>
  <c r="C7" i="7" s="1" a="1"/>
  <c r="C7" i="7" s="1"/>
  <c r="G5" i="7"/>
  <c r="F5" i="7"/>
  <c r="E5" i="7"/>
  <c r="D3" i="7"/>
  <c r="A4" i="1"/>
  <c r="B4" i="1" s="1"/>
  <c r="D7" i="7"/>
  <c r="C8" i="7" l="1" a="1"/>
  <c r="C8" i="7" s="1"/>
  <c r="C9" i="7" a="1"/>
  <c r="C9" i="7" s="1"/>
  <c r="C11" i="7" a="1"/>
  <c r="C11" i="7" s="1"/>
  <c r="C6" i="7" a="1"/>
  <c r="C6" i="7" s="1"/>
  <c r="C10" i="7" a="1"/>
  <c r="C10" i="7" s="1"/>
  <c r="D3" i="1"/>
  <c r="B8" i="5"/>
  <c r="B7" i="5"/>
  <c r="B6" i="5"/>
  <c r="D3" i="5"/>
  <c r="D3" i="2"/>
  <c r="D8" i="7"/>
  <c r="D9" i="7"/>
  <c r="E7" i="7"/>
  <c r="F6" i="7"/>
  <c r="G7" i="7"/>
  <c r="F7" i="7"/>
  <c r="D10" i="7"/>
  <c r="G5" i="1" l="1"/>
  <c r="F5" i="1"/>
  <c r="E5" i="1"/>
  <c r="B6" i="2"/>
  <c r="G6" i="7"/>
  <c r="D6" i="7"/>
  <c r="E6" i="7"/>
  <c r="C8" i="1" l="1" a="1"/>
  <c r="C8" i="1" s="1"/>
  <c r="C9" i="1" a="1"/>
  <c r="C9" i="1" s="1"/>
  <c r="C11" i="1" a="1"/>
  <c r="C11" i="1" s="1"/>
  <c r="C7" i="1" a="1"/>
  <c r="C7" i="1" s="1"/>
  <c r="C10" i="1" a="1"/>
  <c r="C10" i="1" s="1"/>
  <c r="C6" i="1" a="1"/>
  <c r="C6" i="1" s="1"/>
  <c r="D8" i="1"/>
  <c r="E7" i="1"/>
  <c r="D7" i="1"/>
  <c r="F7" i="1"/>
  <c r="D11" i="1"/>
  <c r="G7" i="1"/>
  <c r="D9" i="1"/>
  <c r="D10" i="1"/>
  <c r="D6" i="1"/>
  <c r="E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<sst xmlns="http://schemas.openxmlformats.org/spreadsheetml/2006/main" count="254" uniqueCount="131">
  <si>
    <t>学校目標</t>
    <rPh sb="0" eb="4">
      <t>ガッコウモクヒョウ</t>
    </rPh>
    <phoneticPr fontId="1"/>
  </si>
  <si>
    <t>怨念がおんねん</t>
    <phoneticPr fontId="1"/>
  </si>
  <si>
    <t>〇</t>
  </si>
  <si>
    <t>×</t>
  </si>
  <si>
    <t>クラス目標</t>
    <rPh sb="3" eb="5">
      <t>モクヒョウ</t>
    </rPh>
    <phoneticPr fontId="1"/>
  </si>
  <si>
    <t>清掃</t>
    <rPh sb="0" eb="2">
      <t>セイソウ</t>
    </rPh>
    <phoneticPr fontId="1"/>
  </si>
  <si>
    <t>曜日</t>
    <rPh sb="0" eb="2">
      <t>ヨウビ</t>
    </rPh>
    <phoneticPr fontId="1"/>
  </si>
  <si>
    <t>時限</t>
    <rPh sb="0" eb="2">
      <t>ジゲン</t>
    </rPh>
    <phoneticPr fontId="1"/>
  </si>
  <si>
    <t>教科</t>
    <rPh sb="0" eb="2">
      <t>キョウカ</t>
    </rPh>
    <phoneticPr fontId="1"/>
  </si>
  <si>
    <t>学習内容</t>
    <rPh sb="0" eb="4">
      <t>ガクシュウナイヨウ</t>
    </rPh>
    <phoneticPr fontId="1"/>
  </si>
  <si>
    <t>表か</t>
    <rPh sb="0" eb="1">
      <t>ヒョウ</t>
    </rPh>
    <phoneticPr fontId="1"/>
  </si>
  <si>
    <t/>
  </si>
  <si>
    <t>〇</t>
    <phoneticPr fontId="1"/>
  </si>
  <si>
    <t>×</t>
    <phoneticPr fontId="1"/>
  </si>
  <si>
    <t>ランダム番号くん</t>
    <rPh sb="4" eb="6">
      <t>バンゴウ</t>
    </rPh>
    <phoneticPr fontId="1"/>
  </si>
  <si>
    <t>VisualStudioCode</t>
    <phoneticPr fontId="1"/>
  </si>
  <si>
    <t>1～33のランダムな数字を生成します。</t>
    <rPh sb="10" eb="12">
      <t>スウジ</t>
    </rPh>
    <rPh sb="13" eb="15">
      <t>セイセイ</t>
    </rPh>
    <phoneticPr fontId="1"/>
  </si>
  <si>
    <t>指名するときなどに使ってください</t>
    <rPh sb="0" eb="2">
      <t>シメイ</t>
    </rPh>
    <rPh sb="9" eb="10">
      <t>ツカ</t>
    </rPh>
    <phoneticPr fontId="1"/>
  </si>
  <si>
    <t>1回200円</t>
    <rPh sb="1" eb="2">
      <t>カイ</t>
    </rPh>
    <rPh sb="5" eb="6">
      <t>エン</t>
    </rPh>
    <phoneticPr fontId="1"/>
  </si>
  <si>
    <t>日付</t>
    <rPh sb="0" eb="2">
      <t>ヒヅケ</t>
    </rPh>
    <phoneticPr fontId="1"/>
  </si>
  <si>
    <t>総合評価</t>
    <rPh sb="0" eb="2">
      <t>ソウゴウ</t>
    </rPh>
    <rPh sb="2" eb="4">
      <t>ヒョウカ</t>
    </rPh>
    <phoneticPr fontId="1"/>
  </si>
  <si>
    <t>月</t>
    <rPh sb="0" eb="1">
      <t>ゲツ</t>
    </rPh>
    <phoneticPr fontId="1"/>
  </si>
  <si>
    <t>学びを楽しみ、仲間と共に成長する</t>
    <rPh sb="0" eb="1">
      <t>マナ</t>
    </rPh>
    <rPh sb="3" eb="4">
      <t>タノ</t>
    </rPh>
    <phoneticPr fontId="1"/>
  </si>
  <si>
    <t>国語</t>
    <rPh sb="0" eb="2">
      <t>コクゴ</t>
    </rPh>
    <phoneticPr fontId="1"/>
  </si>
  <si>
    <t>時間目</t>
    <rPh sb="0" eb="3">
      <t>ジカンメ</t>
    </rPh>
    <phoneticPr fontId="1"/>
  </si>
  <si>
    <t>授業評価</t>
    <rPh sb="0" eb="2">
      <t>ジュギョウ</t>
    </rPh>
    <rPh sb="2" eb="4">
      <t>ヒョウカ</t>
    </rPh>
    <phoneticPr fontId="1"/>
  </si>
  <si>
    <t>総合評価</t>
    <rPh sb="0" eb="4">
      <t>ソウゴウヒョウカ</t>
    </rPh>
    <phoneticPr fontId="1"/>
  </si>
  <si>
    <t>授業の振り返りとクラスに伝えたいこと</t>
    <rPh sb="0" eb="2">
      <t>ジュギョウ</t>
    </rPh>
    <rPh sb="3" eb="4">
      <t>フ</t>
    </rPh>
    <rPh sb="5" eb="6">
      <t>カエ</t>
    </rPh>
    <rPh sb="12" eb="13">
      <t>ツタ</t>
    </rPh>
    <phoneticPr fontId="1"/>
  </si>
  <si>
    <t>ここににゅうりょく　ここに入力　ココニニュウリョク　ｺｺﾆﾆｭｳﾘｮｸ</t>
    <rPh sb="13" eb="15">
      <t>ニュウリョク</t>
    </rPh>
    <phoneticPr fontId="1"/>
  </si>
  <si>
    <t>次の授業の確認</t>
    <rPh sb="0" eb="1">
      <t>ツギ</t>
    </rPh>
    <rPh sb="2" eb="4">
      <t>ジュギョウ</t>
    </rPh>
    <rPh sb="5" eb="7">
      <t>カクニン</t>
    </rPh>
    <phoneticPr fontId="1"/>
  </si>
  <si>
    <t>次の学習内容</t>
    <rPh sb="0" eb="1">
      <t>ツギ</t>
    </rPh>
    <rPh sb="2" eb="6">
      <t>ガクシュウナイヨウ</t>
    </rPh>
    <phoneticPr fontId="1"/>
  </si>
  <si>
    <t>ここににゅうりょく　ここに入力　ココニニュウリョク　ｺｺﾆﾆｭｳﾘｮｸ</t>
    <phoneticPr fontId="1"/>
  </si>
  <si>
    <t>課題と持ち物</t>
    <rPh sb="0" eb="2">
      <t>カダイ</t>
    </rPh>
    <rPh sb="3" eb="4">
      <t>モ</t>
    </rPh>
    <rPh sb="5" eb="6">
      <t>モノ</t>
    </rPh>
    <phoneticPr fontId="1"/>
  </si>
  <si>
    <t>教科係氏名</t>
    <rPh sb="0" eb="2">
      <t>キョウカ</t>
    </rPh>
    <rPh sb="2" eb="3">
      <t>ガカリ</t>
    </rPh>
    <rPh sb="3" eb="5">
      <t>シメイ</t>
    </rPh>
    <phoneticPr fontId="1"/>
  </si>
  <si>
    <t>役割分担</t>
    <rPh sb="0" eb="4">
      <t>ヤクワリブンタン</t>
    </rPh>
    <phoneticPr fontId="1"/>
  </si>
  <si>
    <t>授業前連絡</t>
    <rPh sb="0" eb="5">
      <t>ジュギョウマエレンラク</t>
    </rPh>
    <phoneticPr fontId="1"/>
  </si>
  <si>
    <t>学級への連絡</t>
    <rPh sb="0" eb="2">
      <t>ガッキュウ</t>
    </rPh>
    <rPh sb="4" eb="6">
      <t>レンラク</t>
    </rPh>
    <phoneticPr fontId="1"/>
  </si>
  <si>
    <t>準備・片付け</t>
    <rPh sb="0" eb="2">
      <t>ジュンビ</t>
    </rPh>
    <rPh sb="3" eb="5">
      <t>カタヅ</t>
    </rPh>
    <phoneticPr fontId="1"/>
  </si>
  <si>
    <t>評価の記入・報告</t>
    <rPh sb="0" eb="2">
      <t>ヒョウカ</t>
    </rPh>
    <rPh sb="3" eb="5">
      <t>キニュウ</t>
    </rPh>
    <rPh sb="6" eb="8">
      <t>ホウコク</t>
    </rPh>
    <phoneticPr fontId="1"/>
  </si>
  <si>
    <t>あいさつ号令</t>
    <rPh sb="4" eb="6">
      <t>ゴウレイ</t>
    </rPh>
    <phoneticPr fontId="1"/>
  </si>
  <si>
    <t>黒板消し</t>
    <rPh sb="0" eb="2">
      <t>コクバン</t>
    </rPh>
    <rPh sb="2" eb="3">
      <t>ケ</t>
    </rPh>
    <phoneticPr fontId="1"/>
  </si>
  <si>
    <t>教科係独自</t>
    <rPh sb="0" eb="5">
      <t>キョウカガカリドクジ</t>
    </rPh>
    <phoneticPr fontId="1"/>
  </si>
  <si>
    <t>数学</t>
    <rPh sb="0" eb="2">
      <t>スウガク</t>
    </rPh>
    <phoneticPr fontId="1"/>
  </si>
  <si>
    <t>a</t>
    <phoneticPr fontId="1"/>
  </si>
  <si>
    <t>ＭｉｃｒｏｓｏｆｔMicrosoftﾏｲｸﾛｿﾌﾄ</t>
    <phoneticPr fontId="1"/>
  </si>
  <si>
    <t>設定画面について</t>
    <rPh sb="0" eb="2">
      <t>セッテイ</t>
    </rPh>
    <rPh sb="2" eb="4">
      <t>ガメン</t>
    </rPh>
    <phoneticPr fontId="1"/>
  </si>
  <si>
    <t>黄色の色がついてるセルは先生以外変更しないでください。</t>
    <rPh sb="0" eb="2">
      <t>キイロ</t>
    </rPh>
    <rPh sb="3" eb="4">
      <t>イロ</t>
    </rPh>
    <rPh sb="12" eb="14">
      <t>センセイ</t>
    </rPh>
    <rPh sb="14" eb="16">
      <t>イガイ</t>
    </rPh>
    <rPh sb="16" eb="18">
      <t>ヘンコウ</t>
    </rPh>
    <phoneticPr fontId="1"/>
  </si>
  <si>
    <t>授業評価設定(２文字程度がきれい)</t>
    <rPh sb="0" eb="6">
      <t>ジュギョウヒョウカセッテイ</t>
    </rPh>
    <rPh sb="8" eb="12">
      <t>モジテイド</t>
    </rPh>
    <phoneticPr fontId="1"/>
  </si>
  <si>
    <t>〇×設定?</t>
    <rPh sb="2" eb="4">
      <t>セッテイ</t>
    </rPh>
    <phoneticPr fontId="1"/>
  </si>
  <si>
    <t>時間設定</t>
    <rPh sb="0" eb="2">
      <t>ジカン</t>
    </rPh>
    <rPh sb="2" eb="4">
      <t>セッテイ</t>
    </rPh>
    <phoneticPr fontId="1"/>
  </si>
  <si>
    <t>総合評価設定</t>
    <rPh sb="0" eb="2">
      <t>ソウゴウ</t>
    </rPh>
    <rPh sb="2" eb="4">
      <t>ヒョウカ</t>
    </rPh>
    <rPh sb="4" eb="6">
      <t>セッテイ</t>
    </rPh>
    <phoneticPr fontId="1"/>
  </si>
  <si>
    <t>授業一覧</t>
    <rPh sb="0" eb="2">
      <t>ジュギョウ</t>
    </rPh>
    <rPh sb="2" eb="4">
      <t>イチラン</t>
    </rPh>
    <phoneticPr fontId="1"/>
  </si>
  <si>
    <t>灰色の色がついてるセルは係の人以外変更しないでください。</t>
    <rPh sb="0" eb="2">
      <t>ハイイロ</t>
    </rPh>
    <rPh sb="3" eb="4">
      <t>イロ</t>
    </rPh>
    <rPh sb="12" eb="13">
      <t>カカリ</t>
    </rPh>
    <rPh sb="14" eb="15">
      <t>ヒト</t>
    </rPh>
    <rPh sb="15" eb="17">
      <t>イガイ</t>
    </rPh>
    <rPh sb="17" eb="19">
      <t>ヘンコウ</t>
    </rPh>
    <phoneticPr fontId="1"/>
  </si>
  <si>
    <t>１番目</t>
    <rPh sb="1" eb="3">
      <t>バンメ</t>
    </rPh>
    <phoneticPr fontId="1"/>
  </si>
  <si>
    <t>挨拶</t>
    <rPh sb="0" eb="2">
      <t>アイサツ</t>
    </rPh>
    <phoneticPr fontId="1"/>
  </si>
  <si>
    <t>A</t>
    <phoneticPr fontId="1"/>
  </si>
  <si>
    <t>２番目</t>
    <rPh sb="1" eb="3">
      <t>バンメ</t>
    </rPh>
    <phoneticPr fontId="1"/>
  </si>
  <si>
    <t>着席</t>
    <rPh sb="0" eb="2">
      <t>チャクセキ</t>
    </rPh>
    <phoneticPr fontId="1"/>
  </si>
  <si>
    <t>B</t>
    <phoneticPr fontId="1"/>
  </si>
  <si>
    <t>３番目</t>
    <rPh sb="1" eb="3">
      <t>バンメ</t>
    </rPh>
    <phoneticPr fontId="1"/>
  </si>
  <si>
    <t>態度</t>
    <rPh sb="0" eb="2">
      <t>タイド</t>
    </rPh>
    <phoneticPr fontId="1"/>
  </si>
  <si>
    <t>C</t>
    <phoneticPr fontId="1"/>
  </si>
  <si>
    <t>理科</t>
    <rPh sb="0" eb="2">
      <t>リカ</t>
    </rPh>
    <phoneticPr fontId="1"/>
  </si>
  <si>
    <t>社会</t>
    <rPh sb="0" eb="2">
      <t>シャカイ</t>
    </rPh>
    <phoneticPr fontId="1"/>
  </si>
  <si>
    <t>英語</t>
    <rPh sb="0" eb="2">
      <t>エイゴ</t>
    </rPh>
    <phoneticPr fontId="1"/>
  </si>
  <si>
    <t>保健体育</t>
    <rPh sb="0" eb="2">
      <t>ホケン</t>
    </rPh>
    <rPh sb="2" eb="4">
      <t>タイイク</t>
    </rPh>
    <phoneticPr fontId="1"/>
  </si>
  <si>
    <t>評価内容1</t>
    <rPh sb="0" eb="4">
      <t>ヒョウカナイヨウ</t>
    </rPh>
    <phoneticPr fontId="1"/>
  </si>
  <si>
    <t>技術</t>
    <rPh sb="0" eb="2">
      <t>ギジュツ</t>
    </rPh>
    <phoneticPr fontId="1"/>
  </si>
  <si>
    <t>評価内容2</t>
    <rPh sb="0" eb="4">
      <t>ヒョウカナイヨウ</t>
    </rPh>
    <phoneticPr fontId="1"/>
  </si>
  <si>
    <t>家庭</t>
    <rPh sb="0" eb="2">
      <t>カテイ</t>
    </rPh>
    <phoneticPr fontId="1"/>
  </si>
  <si>
    <t>評価内容3</t>
    <rPh sb="0" eb="4">
      <t>ヒョウカナイヨウ</t>
    </rPh>
    <phoneticPr fontId="1"/>
  </si>
  <si>
    <t>自立・共生</t>
    <rPh sb="0" eb="2">
      <t>ジリツ</t>
    </rPh>
    <rPh sb="3" eb="5">
      <t>キョウセイ</t>
    </rPh>
    <phoneticPr fontId="1"/>
  </si>
  <si>
    <t>学活</t>
    <rPh sb="0" eb="2">
      <t>ガッカツ</t>
    </rPh>
    <phoneticPr fontId="1"/>
  </si>
  <si>
    <t>道徳</t>
    <rPh sb="0" eb="2">
      <t>ドウトク</t>
    </rPh>
    <phoneticPr fontId="1"/>
  </si>
  <si>
    <t>行事</t>
    <rPh sb="0" eb="2">
      <t>ギョウジ</t>
    </rPh>
    <phoneticPr fontId="1"/>
  </si>
  <si>
    <t>unknown</t>
    <phoneticPr fontId="1"/>
  </si>
  <si>
    <t>授業設定</t>
    <rPh sb="0" eb="2">
      <t>ジュギョウ</t>
    </rPh>
    <rPh sb="2" eb="4">
      <t>セッテイ</t>
    </rPh>
    <phoneticPr fontId="1"/>
  </si>
  <si>
    <t>火</t>
  </si>
  <si>
    <t>水</t>
  </si>
  <si>
    <t>木</t>
  </si>
  <si>
    <t>金</t>
  </si>
  <si>
    <t>1時間目</t>
    <rPh sb="1" eb="3">
      <t>ジカン</t>
    </rPh>
    <rPh sb="3" eb="4">
      <t>メ</t>
    </rPh>
    <phoneticPr fontId="1"/>
  </si>
  <si>
    <t>2時間目</t>
    <rPh sb="1" eb="3">
      <t>ジカン</t>
    </rPh>
    <rPh sb="3" eb="4">
      <t>メ</t>
    </rPh>
    <phoneticPr fontId="1"/>
  </si>
  <si>
    <t>は</t>
    <phoneticPr fontId="1"/>
  </si>
  <si>
    <t>3時間目</t>
    <rPh sb="1" eb="3">
      <t>ジカン</t>
    </rPh>
    <rPh sb="3" eb="4">
      <t>メ</t>
    </rPh>
    <phoneticPr fontId="1"/>
  </si>
  <si>
    <t>よ</t>
    <phoneticPr fontId="1"/>
  </si>
  <si>
    <t>4時間目</t>
    <rPh sb="1" eb="3">
      <t>ジカン</t>
    </rPh>
    <rPh sb="3" eb="4">
      <t>メ</t>
    </rPh>
    <phoneticPr fontId="1"/>
  </si>
  <si>
    <t>体育</t>
    <rPh sb="0" eb="2">
      <t>タイイク</t>
    </rPh>
    <phoneticPr fontId="1"/>
  </si>
  <si>
    <t>う</t>
    <phoneticPr fontId="1"/>
  </si>
  <si>
    <t>5時間目</t>
    <rPh sb="1" eb="3">
      <t>ジカン</t>
    </rPh>
    <rPh sb="3" eb="4">
      <t>メ</t>
    </rPh>
    <phoneticPr fontId="1"/>
  </si>
  <si>
    <t>ご</t>
    <phoneticPr fontId="1"/>
  </si>
  <si>
    <t>6時間目</t>
    <rPh sb="1" eb="3">
      <t>ジカン</t>
    </rPh>
    <rPh sb="3" eb="4">
      <t>メ</t>
    </rPh>
    <phoneticPr fontId="1"/>
  </si>
  <si>
    <t>ざ</t>
    <phoneticPr fontId="1"/>
  </si>
  <si>
    <t>特別</t>
    <rPh sb="0" eb="2">
      <t>トクベツ</t>
    </rPh>
    <phoneticPr fontId="1"/>
  </si>
  <si>
    <t>例 (39HR)</t>
    <rPh sb="0" eb="1">
      <t>レイ</t>
    </rPh>
    <phoneticPr fontId="1"/>
  </si>
  <si>
    <t>\\  \</t>
    <phoneticPr fontId="1"/>
  </si>
  <si>
    <t>注意</t>
    <rPh sb="0" eb="2">
      <t>チュウイ</t>
    </rPh>
    <phoneticPr fontId="1"/>
  </si>
  <si>
    <t>これより下は先生以外設定を変更したりボタンを押したりしないでください。システムがバグってしまったりデータが削除される可能性があります。心配でしたら保護してください。</t>
    <rPh sb="4" eb="5">
      <t>シタ</t>
    </rPh>
    <rPh sb="6" eb="8">
      <t>センセイ</t>
    </rPh>
    <rPh sb="8" eb="10">
      <t>イガイ</t>
    </rPh>
    <rPh sb="10" eb="12">
      <t>セッテイ</t>
    </rPh>
    <rPh sb="13" eb="15">
      <t>ヘンコウ</t>
    </rPh>
    <rPh sb="22" eb="23">
      <t>オ</t>
    </rPh>
    <rPh sb="53" eb="55">
      <t>サクジョ</t>
    </rPh>
    <rPh sb="58" eb="61">
      <t>カノウセイ</t>
    </rPh>
    <rPh sb="67" eb="69">
      <t>シンパイ</t>
    </rPh>
    <rPh sb="73" eb="75">
      <t>ホゴ</t>
    </rPh>
    <phoneticPr fontId="1"/>
  </si>
  <si>
    <t>明日の授業</t>
    <rPh sb="0" eb="2">
      <t>アシタ</t>
    </rPh>
    <rPh sb="3" eb="5">
      <t>ジュギョウ</t>
    </rPh>
    <phoneticPr fontId="1"/>
  </si>
  <si>
    <t>p</t>
    <phoneticPr fontId="1"/>
  </si>
  <si>
    <t>設定されていません。設定画面で設定してください。</t>
    <rPh sb="0" eb="2">
      <t>セッテイ</t>
    </rPh>
    <rPh sb="10" eb="12">
      <t>セッテイ</t>
    </rPh>
    <rPh sb="12" eb="14">
      <t>ガメン</t>
    </rPh>
    <rPh sb="15" eb="17">
      <t>セッテイ</t>
    </rPh>
    <phoneticPr fontId="1"/>
  </si>
  <si>
    <t>授業の評価内容設定(全角23文字程度)</t>
    <rPh sb="0" eb="2">
      <t>ジュギョウ</t>
    </rPh>
    <rPh sb="3" eb="5">
      <t>ヒョウカ</t>
    </rPh>
    <rPh sb="5" eb="7">
      <t>ナイヨウ</t>
    </rPh>
    <rPh sb="7" eb="9">
      <t>セッテイ</t>
    </rPh>
    <rPh sb="10" eb="12">
      <t>ゼンカク</t>
    </rPh>
    <rPh sb="14" eb="16">
      <t>モジ</t>
    </rPh>
    <rPh sb="16" eb="18">
      <t>テイド</t>
    </rPh>
    <phoneticPr fontId="1"/>
  </si>
  <si>
    <t>設定されていません。設定画面で設定してください。</t>
    <phoneticPr fontId="1"/>
  </si>
  <si>
    <t>クラス目標設定(30文字以内)</t>
    <rPh sb="3" eb="5">
      <t>モクヒョウ</t>
    </rPh>
    <rPh sb="5" eb="7">
      <t>セッテイ</t>
    </rPh>
    <rPh sb="10" eb="12">
      <t>モジ</t>
    </rPh>
    <rPh sb="12" eb="14">
      <t>イナイ</t>
    </rPh>
    <phoneticPr fontId="1"/>
  </si>
  <si>
    <t>TODAY関数で今日の日付を取得しそこからTEXT関数でTODAY+1日の曜日を計算します。計算した曜日を取得し検出された曜日の時間割をあらかじめ設定しておいた時間割を自動的に入力します。Today関数なので日本時間0:00になると日付と曜日　予定が更新されます。</t>
    <rPh sb="5" eb="7">
      <t>カンスウ</t>
    </rPh>
    <rPh sb="8" eb="10">
      <t>キョウ</t>
    </rPh>
    <rPh sb="11" eb="13">
      <t>ヒヅケ</t>
    </rPh>
    <rPh sb="14" eb="16">
      <t>シュトク</t>
    </rPh>
    <rPh sb="25" eb="27">
      <t>カンスウ</t>
    </rPh>
    <rPh sb="35" eb="36">
      <t>ニチ</t>
    </rPh>
    <rPh sb="37" eb="39">
      <t>ヨウビ</t>
    </rPh>
    <rPh sb="40" eb="42">
      <t>ケイサン</t>
    </rPh>
    <rPh sb="46" eb="48">
      <t>ケイサン</t>
    </rPh>
    <rPh sb="50" eb="52">
      <t>ヨウビ</t>
    </rPh>
    <rPh sb="53" eb="55">
      <t>シュトク</t>
    </rPh>
    <rPh sb="56" eb="58">
      <t>ケンシュツ</t>
    </rPh>
    <rPh sb="61" eb="63">
      <t>ヨウビ</t>
    </rPh>
    <rPh sb="64" eb="67">
      <t>ジカンワリ</t>
    </rPh>
    <rPh sb="73" eb="75">
      <t>セッテイ</t>
    </rPh>
    <rPh sb="80" eb="83">
      <t>ジカンワリ</t>
    </rPh>
    <rPh sb="84" eb="86">
      <t>ジドウ</t>
    </rPh>
    <rPh sb="86" eb="90">
      <t>テキニニュウリョク</t>
    </rPh>
    <rPh sb="99" eb="101">
      <t>カンスウ</t>
    </rPh>
    <rPh sb="104" eb="108">
      <t>ニホンジカン</t>
    </rPh>
    <rPh sb="116" eb="118">
      <t>ヒヅケ</t>
    </rPh>
    <rPh sb="119" eb="121">
      <t>ヨウビ</t>
    </rPh>
    <rPh sb="122" eb="124">
      <t>ヨテイ</t>
    </rPh>
    <rPh sb="125" eb="127">
      <t>コウシン</t>
    </rPh>
    <phoneticPr fontId="1"/>
  </si>
  <si>
    <t>今日の授業</t>
    <rPh sb="0" eb="2">
      <t>キョウ</t>
    </rPh>
    <rPh sb="3" eb="5">
      <t>ジュギョウ</t>
    </rPh>
    <phoneticPr fontId="1"/>
  </si>
  <si>
    <t>TODAY関数で今日の日付を取得しそこからTEXT関数でTODAYの曜日を計算します。計算した曜日を取得し検出された曜日の時間割をあらかじめ設定しておいた時間割を自動的に入力します。Today関数なので日本時間0:00になると日付と曜日　予定が更新されます。</t>
    <phoneticPr fontId="1"/>
  </si>
  <si>
    <t>授業評価v2</t>
    <rPh sb="0" eb="2">
      <t>ジュギョウ</t>
    </rPh>
    <rPh sb="2" eb="4">
      <t>ヒョウカ</t>
    </rPh>
    <phoneticPr fontId="1"/>
  </si>
  <si>
    <t>VBAで実行   ソースコードに説明の文章をつけときます。まず教科ごとのシートをws1 ws1-2 ws1-3と定義し授業評価のシートをws2と定義しときます。次に教科係のシートから授業評価にコピー＆ペーストするものを指定し定義するための素材的なものを作り実際にそのセルを指定し文字で定義します。未入力のまま入力し送信すると列がずれてしまうためifで入力されていないものがないか確認しある場合はメッセージボックスでお知らせします。あと書くのがめんどくさいのでググってください。</t>
    <rPh sb="4" eb="6">
      <t>ジッコウ</t>
    </rPh>
    <rPh sb="16" eb="18">
      <t>セツメイ</t>
    </rPh>
    <rPh sb="19" eb="21">
      <t>ブンショウ</t>
    </rPh>
    <rPh sb="31" eb="33">
      <t>キョウカ</t>
    </rPh>
    <rPh sb="56" eb="58">
      <t>テイギ</t>
    </rPh>
    <rPh sb="59" eb="61">
      <t>ジュギョウ</t>
    </rPh>
    <rPh sb="61" eb="63">
      <t>ヒョウカ</t>
    </rPh>
    <rPh sb="72" eb="74">
      <t>テイギ</t>
    </rPh>
    <rPh sb="80" eb="81">
      <t>ツギ</t>
    </rPh>
    <rPh sb="82" eb="84">
      <t>キョウカ</t>
    </rPh>
    <rPh sb="84" eb="85">
      <t>ガカリ</t>
    </rPh>
    <rPh sb="91" eb="93">
      <t>ジュギョウ</t>
    </rPh>
    <rPh sb="93" eb="95">
      <t>ヒョウカ</t>
    </rPh>
    <rPh sb="109" eb="111">
      <t>シテイ</t>
    </rPh>
    <rPh sb="112" eb="114">
      <t>テイギ</t>
    </rPh>
    <rPh sb="119" eb="122">
      <t>ソザイテキ</t>
    </rPh>
    <rPh sb="126" eb="127">
      <t>ツク</t>
    </rPh>
    <rPh sb="128" eb="130">
      <t>ジッサイ</t>
    </rPh>
    <rPh sb="136" eb="138">
      <t>シテイ</t>
    </rPh>
    <rPh sb="139" eb="141">
      <t>モジ</t>
    </rPh>
    <rPh sb="142" eb="144">
      <t>テイギ</t>
    </rPh>
    <rPh sb="148" eb="151">
      <t>ミニュウリョク</t>
    </rPh>
    <rPh sb="154" eb="156">
      <t>ニュウリョク</t>
    </rPh>
    <rPh sb="157" eb="159">
      <t>ソウシン</t>
    </rPh>
    <rPh sb="162" eb="163">
      <t>レツ</t>
    </rPh>
    <rPh sb="175" eb="177">
      <t>ニュウリョク</t>
    </rPh>
    <rPh sb="189" eb="191">
      <t>カクニン</t>
    </rPh>
    <rPh sb="194" eb="196">
      <t>バアイ</t>
    </rPh>
    <rPh sb="208" eb="209">
      <t>シ</t>
    </rPh>
    <rPh sb="217" eb="218">
      <t>カ</t>
    </rPh>
    <phoneticPr fontId="1"/>
  </si>
  <si>
    <t>国語</t>
    <rPh sb="0" eb="2">
      <t>コクゴ</t>
    </rPh>
    <phoneticPr fontId="1"/>
  </si>
  <si>
    <t>授業の振り返り</t>
    <phoneticPr fontId="1"/>
  </si>
  <si>
    <t>保存ID</t>
    <rPh sb="0" eb="2">
      <t>ホゾン</t>
    </rPh>
    <phoneticPr fontId="1"/>
  </si>
  <si>
    <t>数学</t>
    <rPh sb="0" eb="2">
      <t>スウガク</t>
    </rPh>
    <phoneticPr fontId="1"/>
  </si>
  <si>
    <t>英語</t>
    <rPh sb="0" eb="2">
      <t>エイゴ</t>
    </rPh>
    <phoneticPr fontId="1"/>
  </si>
  <si>
    <t>社会</t>
    <rPh sb="0" eb="2">
      <t>シャカイ</t>
    </rPh>
    <phoneticPr fontId="1"/>
  </si>
  <si>
    <t>理科</t>
    <rPh sb="0" eb="2">
      <t>リカ</t>
    </rPh>
    <phoneticPr fontId="1"/>
  </si>
  <si>
    <t>保健・体育</t>
    <rPh sb="0" eb="2">
      <t>ホケン</t>
    </rPh>
    <rPh sb="3" eb="5">
      <t>タイイク</t>
    </rPh>
    <phoneticPr fontId="1"/>
  </si>
  <si>
    <t>a</t>
    <phoneticPr fontId="1"/>
  </si>
  <si>
    <t>IIIII</t>
    <phoneticPr fontId="1"/>
  </si>
  <si>
    <t>教科係専用</t>
    <rPh sb="0" eb="2">
      <t>キョウカ</t>
    </rPh>
    <rPh sb="2" eb="3">
      <t>ガカリ</t>
    </rPh>
    <rPh sb="3" eb="5">
      <t>センヨウ</t>
    </rPh>
    <phoneticPr fontId="1"/>
  </si>
  <si>
    <t>002</t>
    <phoneticPr fontId="1"/>
  </si>
  <si>
    <t>国語</t>
    <phoneticPr fontId="1"/>
  </si>
  <si>
    <t>※1回の授業に1回のみクリック</t>
    <rPh sb="2" eb="3">
      <t>カイ</t>
    </rPh>
    <rPh sb="4" eb="6">
      <t>ジュギョウ</t>
    </rPh>
    <rPh sb="8" eb="9">
      <t>カイ</t>
    </rPh>
    <phoneticPr fontId="1"/>
  </si>
  <si>
    <t>C</t>
  </si>
  <si>
    <t>教科係氏名</t>
    <rPh sb="0" eb="3">
      <t>キョウカガカリ</t>
    </rPh>
    <rPh sb="3" eb="5">
      <t>シメイ</t>
    </rPh>
    <phoneticPr fontId="1"/>
  </si>
  <si>
    <t>membername1</t>
    <phoneticPr fontId="1"/>
  </si>
  <si>
    <t>membername2</t>
  </si>
  <si>
    <t>membername3</t>
  </si>
  <si>
    <t>membername4</t>
  </si>
  <si>
    <t>なし</t>
  </si>
  <si>
    <t>なし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</si>
</sst>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quot;月&quot;d&quot;日&quot;;@"/>
    <numFmt numFmtId="177" formatCode="0_);[Red]\(0\)"/>
  </numFmts>
  <fonts count="26" x14ac:knownFonts="1">
    <font>
      <sz val="11"/>
      <color theme="1"/>
      <name val="游ゴシック"/>
      <family val="2"/>
      <charset val="128"/>
      <scheme val="minor"/>
    </font>
    <font>
      <sz val="6"/>
      <name val="游ゴシック"/>
      <family val="2"/>
      <charset val="128"/>
      <scheme val="minor"/>
    </font>
    <font>
      <sz val="22"/>
      <color rgb="FF202124"/>
      <name val="UD デジタル 教科書体 N-B"/>
      <family val="1"/>
      <charset val="128"/>
    </font>
    <font>
      <sz val="11"/>
      <color theme="1"/>
      <name val="UD デジタル 教科書体 N-B"/>
      <family val="1"/>
      <charset val="128"/>
    </font>
    <font>
      <sz val="14"/>
      <color theme="1"/>
      <name val="UD デジタル 教科書体 N-B"/>
      <family val="1"/>
      <charset val="128"/>
    </font>
    <font>
      <sz val="12"/>
      <color theme="1"/>
      <name val="UD デジタル 教科書体 N-B"/>
      <family val="1"/>
      <charset val="128"/>
    </font>
    <font>
      <sz val="16"/>
      <color theme="1"/>
      <name val="UD デジタル 教科書体 N-B"/>
      <family val="1"/>
      <charset val="128"/>
    </font>
    <font>
      <sz val="10"/>
      <color theme="1"/>
      <name val="UD デジタル 教科書体 N-B"/>
      <family val="1"/>
      <charset val="128"/>
    </font>
    <font>
      <sz val="28"/>
      <color theme="1"/>
      <name val="UD デジタル 教科書体 N-B"/>
      <family val="1"/>
      <charset val="128"/>
    </font>
    <font>
      <sz val="22"/>
      <color theme="1"/>
      <name val="UD デジタル 教科書体 N-B"/>
      <family val="1"/>
      <charset val="128"/>
    </font>
    <font>
      <sz val="11"/>
      <color theme="1"/>
      <name val="HGP創英角ｺﾞｼｯｸUB"/>
      <family val="3"/>
      <charset val="128"/>
    </font>
    <font>
      <sz val="11"/>
      <color theme="1"/>
      <name val="BIZ UDPゴシック"/>
      <family val="3"/>
      <charset val="128"/>
    </font>
    <font>
      <sz val="24"/>
      <color theme="1"/>
      <name val="UD デジタル 教科書体 N-B"/>
      <family val="1"/>
      <charset val="128"/>
    </font>
    <font>
      <sz val="11"/>
      <color theme="1"/>
      <name val="メイリオ"/>
      <family val="3"/>
      <charset val="128"/>
    </font>
    <font>
      <sz val="14"/>
      <color theme="1"/>
      <name val="メイリオ"/>
      <family val="3"/>
      <charset val="128"/>
    </font>
    <font>
      <sz val="11"/>
      <name val="游ゴシック"/>
      <family val="2"/>
      <charset val="128"/>
      <scheme val="minor"/>
    </font>
    <font>
      <sz val="26"/>
      <name val="UD デジタル 教科書体 N-B"/>
      <family val="1"/>
      <charset val="128"/>
    </font>
    <font>
      <sz val="36"/>
      <name val="UD デジタル 教科書体 N-B"/>
      <family val="1"/>
      <charset val="128"/>
    </font>
    <font>
      <sz val="11"/>
      <color rgb="FF000000"/>
      <name val="游ゴシック"/>
      <family val="3"/>
      <charset val="128"/>
    </font>
    <font>
      <sz val="9"/>
      <color rgb="FF000000"/>
      <name val="Meiryo UI"/>
      <family val="3"/>
      <charset val="128"/>
    </font>
    <font>
      <sz val="18"/>
      <color theme="1"/>
      <name val="UD デジタル 教科書体 N-B"/>
      <family val="1"/>
      <charset val="128"/>
    </font>
    <font>
      <sz val="12"/>
      <color theme="1"/>
      <name val="UD デジタル 教科書体 NK-R"/>
      <family val="1"/>
      <charset val="128"/>
    </font>
    <font>
      <b/>
      <sz val="28"/>
      <color theme="1"/>
      <name val="游ゴシック"/>
      <family val="3"/>
      <charset val="128"/>
      <scheme val="minor"/>
    </font>
    <font>
      <sz val="20"/>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8">
    <fill>
      <patternFill patternType="none"/>
    </fill>
    <fill>
      <patternFill patternType="gray125"/>
    </fill>
    <fill>
      <patternFill patternType="solid">
        <fgColor theme="7"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66FF"/>
        <bgColor indexed="64"/>
      </patternFill>
    </fill>
    <fill>
      <patternFill patternType="solid">
        <fgColor theme="7" tint="0.79998168889431442"/>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diagonalUp="1">
      <left style="thin">
        <color indexed="64"/>
      </left>
      <right style="thin">
        <color indexed="64"/>
      </right>
      <top style="thin">
        <color indexed="64"/>
      </top>
      <bottom style="thin">
        <color indexed="64"/>
      </bottom>
      <diagonal style="thin">
        <color auto="1"/>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99">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3" fillId="0" borderId="0" xfId="0" applyFont="1" applyAlignment="1">
      <alignment horizontal="center" vertical="center"/>
    </xf>
    <xf numFmtId="0" fontId="0" fillId="2" borderId="0" xfId="0" applyFill="1">
      <alignment vertical="center"/>
    </xf>
    <xf numFmtId="0" fontId="0" fillId="0" borderId="4" xfId="0" applyBorder="1">
      <alignment vertical="center"/>
    </xf>
    <xf numFmtId="0" fontId="5" fillId="0" borderId="0" xfId="0" applyFont="1" applyAlignment="1">
      <alignment vertical="center" textRotation="255"/>
    </xf>
    <xf numFmtId="0" fontId="4" fillId="0" borderId="0" xfId="0" applyFont="1" applyAlignment="1">
      <alignment horizontal="center" vertical="center"/>
    </xf>
    <xf numFmtId="176" fontId="4" fillId="0" borderId="4" xfId="0" applyNumberFormat="1" applyFont="1" applyBorder="1" applyAlignment="1">
      <alignment horizontal="left" vertical="center"/>
    </xf>
    <xf numFmtId="0" fontId="3" fillId="0" borderId="4" xfId="0" applyFont="1" applyBorder="1" applyAlignment="1">
      <alignment horizontal="center" vertical="center"/>
    </xf>
    <xf numFmtId="0" fontId="4" fillId="0" borderId="4" xfId="0" applyFont="1" applyBorder="1" applyAlignment="1">
      <alignment horizontal="center" vertical="center"/>
    </xf>
    <xf numFmtId="0" fontId="3" fillId="0" borderId="0" xfId="0" applyFont="1" applyAlignment="1">
      <alignment horizontal="center" vertical="center" textRotation="255"/>
    </xf>
    <xf numFmtId="0" fontId="5" fillId="0" borderId="0" xfId="0" applyFont="1" applyAlignment="1">
      <alignment horizontal="center" vertical="center"/>
    </xf>
    <xf numFmtId="14" fontId="9" fillId="0" borderId="0" xfId="0" applyNumberFormat="1" applyFont="1" applyAlignment="1">
      <alignment horizontal="center" vertical="center"/>
    </xf>
    <xf numFmtId="176" fontId="6" fillId="0" borderId="0" xfId="0" applyNumberFormat="1" applyFont="1" applyAlignment="1">
      <alignment horizontal="center" vertical="center"/>
    </xf>
    <xf numFmtId="0" fontId="5" fillId="0" borderId="0" xfId="0" applyFont="1" applyAlignment="1">
      <alignment vertical="center" shrinkToFit="1"/>
    </xf>
    <xf numFmtId="0" fontId="0" fillId="3" borderId="0" xfId="0" applyFill="1">
      <alignment vertical="center"/>
    </xf>
    <xf numFmtId="0" fontId="0" fillId="5" borderId="0" xfId="0" applyFill="1">
      <alignment vertical="center"/>
    </xf>
    <xf numFmtId="0" fontId="0" fillId="0" borderId="4" xfId="0" applyBorder="1" applyAlignment="1">
      <alignment horizontal="center" vertical="center"/>
    </xf>
    <xf numFmtId="0" fontId="0" fillId="0" borderId="0" xfId="0" applyAlignment="1">
      <alignment horizontal="center" vertical="center"/>
    </xf>
    <xf numFmtId="0" fontId="0" fillId="4" borderId="4" xfId="0" applyFill="1" applyBorder="1" applyAlignment="1">
      <alignment horizontal="center" vertical="center"/>
    </xf>
    <xf numFmtId="0" fontId="13" fillId="2" borderId="5" xfId="0" applyFont="1" applyFill="1" applyBorder="1" applyAlignment="1">
      <alignment horizontal="center" vertical="center"/>
    </xf>
    <xf numFmtId="0" fontId="13" fillId="2" borderId="4" xfId="0" applyFont="1" applyFill="1" applyBorder="1" applyAlignment="1">
      <alignment horizontal="center" vertical="center"/>
    </xf>
    <xf numFmtId="0" fontId="0" fillId="0" borderId="0" xfId="0" applyAlignment="1">
      <alignment vertical="center"/>
    </xf>
    <xf numFmtId="177" fontId="0" fillId="0" borderId="0" xfId="0" applyNumberFormat="1" applyAlignment="1">
      <alignment horizontal="center" vertical="center"/>
    </xf>
    <xf numFmtId="0" fontId="3" fillId="0" borderId="0" xfId="0" applyFont="1" applyAlignment="1">
      <alignment horizontal="center" vertical="center" textRotation="255" shrinkToFit="1"/>
    </xf>
    <xf numFmtId="49" fontId="0" fillId="0" borderId="0" xfId="0" applyNumberFormat="1" applyAlignment="1">
      <alignment horizontal="center" vertical="center"/>
    </xf>
    <xf numFmtId="0" fontId="3" fillId="0" borderId="0" xfId="0" applyFont="1" applyAlignment="1">
      <alignment horizontal="right" vertical="center"/>
    </xf>
    <xf numFmtId="0" fontId="0" fillId="2" borderId="11" xfId="0" applyFill="1" applyBorder="1" applyAlignment="1">
      <alignment horizontal="center" vertical="center"/>
    </xf>
    <xf numFmtId="0" fontId="3" fillId="2" borderId="5" xfId="0" applyFont="1" applyFill="1" applyBorder="1" applyAlignment="1">
      <alignment horizontal="center" vertical="center"/>
    </xf>
    <xf numFmtId="0" fontId="3" fillId="2" borderId="4" xfId="0" applyFont="1" applyFill="1" applyBorder="1" applyAlignment="1">
      <alignment horizontal="center" vertical="center"/>
    </xf>
    <xf numFmtId="0" fontId="0" fillId="2" borderId="1" xfId="0" applyFill="1" applyBorder="1" applyAlignment="1">
      <alignment horizontal="center" vertical="center"/>
    </xf>
    <xf numFmtId="0" fontId="3" fillId="2" borderId="8"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vertical="center"/>
    </xf>
    <xf numFmtId="0" fontId="0" fillId="2" borderId="0" xfId="0" applyFill="1" applyAlignment="1">
      <alignment horizontal="center" vertical="center"/>
    </xf>
    <xf numFmtId="0" fontId="13" fillId="4" borderId="4" xfId="0" applyFont="1" applyFill="1" applyBorder="1" applyAlignment="1">
      <alignment horizontal="center" vertical="center"/>
    </xf>
    <xf numFmtId="0" fontId="13" fillId="4" borderId="12" xfId="0" applyFont="1" applyFill="1" applyBorder="1" applyAlignment="1">
      <alignment horizontal="center" vertical="center"/>
    </xf>
    <xf numFmtId="177" fontId="0" fillId="0" borderId="0" xfId="0" applyNumberFormat="1" applyAlignment="1">
      <alignment vertical="center"/>
    </xf>
    <xf numFmtId="49" fontId="0" fillId="0" borderId="0" xfId="0" applyNumberFormat="1" applyAlignment="1">
      <alignment vertical="center"/>
    </xf>
    <xf numFmtId="0" fontId="0" fillId="7" borderId="0" xfId="0" applyFill="1">
      <alignment vertical="center"/>
    </xf>
    <xf numFmtId="0" fontId="21" fillId="7" borderId="0" xfId="0" applyFont="1" applyFill="1" applyAlignment="1">
      <alignment horizontal="right" vertical="center"/>
    </xf>
    <xf numFmtId="176" fontId="23" fillId="0" borderId="4" xfId="0" applyNumberFormat="1" applyFont="1" applyBorder="1" applyAlignment="1">
      <alignment horizontal="center" vertical="center"/>
    </xf>
    <xf numFmtId="0" fontId="24" fillId="0" borderId="4" xfId="0" applyFont="1" applyBorder="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left" vertical="center"/>
    </xf>
    <xf numFmtId="0" fontId="25" fillId="0" borderId="0" xfId="0" applyFont="1" applyBorder="1" applyAlignment="1">
      <alignment horizontal="center" vertical="center" shrinkToFit="1"/>
    </xf>
    <xf numFmtId="0" fontId="0" fillId="0" borderId="4" xfId="0" applyBorder="1" applyAlignment="1">
      <alignment vertical="center"/>
    </xf>
    <xf numFmtId="0" fontId="0" fillId="0" borderId="16" xfId="0" applyBorder="1" applyAlignment="1">
      <alignment vertical="center"/>
    </xf>
    <xf numFmtId="0" fontId="0" fillId="0" borderId="13" xfId="0" applyBorder="1" applyAlignment="1">
      <alignment vertical="center"/>
    </xf>
    <xf numFmtId="0" fontId="0" fillId="0" borderId="15" xfId="0" applyBorder="1" applyAlignment="1">
      <alignment vertical="center"/>
    </xf>
    <xf numFmtId="176" fontId="0" fillId="0" borderId="0" xfId="0" applyNumberFormat="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2" borderId="0" xfId="0" applyFill="1" applyAlignment="1">
      <alignment horizontal="right" vertical="center"/>
    </xf>
    <xf numFmtId="0" fontId="0" fillId="3" borderId="0" xfId="0" applyFill="1" applyAlignment="1">
      <alignment horizontal="center" vertical="center"/>
    </xf>
    <xf numFmtId="0" fontId="10" fillId="2" borderId="0" xfId="0" applyFont="1" applyFill="1" applyAlignment="1">
      <alignment horizontal="center" vertical="center"/>
    </xf>
    <xf numFmtId="0" fontId="11" fillId="2" borderId="0" xfId="0" applyFont="1" applyFill="1" applyAlignment="1">
      <alignment horizontal="center" vertical="center"/>
    </xf>
    <xf numFmtId="0" fontId="12" fillId="2" borderId="0" xfId="0" applyFont="1" applyFill="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center" vertical="center"/>
    </xf>
    <xf numFmtId="0" fontId="20" fillId="0" borderId="0" xfId="0" applyFont="1" applyAlignment="1">
      <alignment horizontal="center" vertical="center"/>
    </xf>
    <xf numFmtId="0" fontId="0" fillId="7" borderId="0" xfId="0" applyFill="1" applyAlignment="1">
      <alignment horizontal="center" vertical="center"/>
    </xf>
    <xf numFmtId="0" fontId="0" fillId="0" borderId="11" xfId="0" applyBorder="1" applyAlignment="1">
      <alignment horizontal="center" vertical="center"/>
    </xf>
    <xf numFmtId="0" fontId="25" fillId="0" borderId="4" xfId="0" applyFont="1" applyBorder="1" applyAlignment="1">
      <alignment horizontal="center" vertical="center" wrapText="1"/>
    </xf>
    <xf numFmtId="0" fontId="3" fillId="0" borderId="0" xfId="0" applyFont="1" applyAlignment="1">
      <alignment horizontal="left" vertical="center"/>
    </xf>
    <xf numFmtId="0" fontId="3" fillId="0" borderId="4" xfId="0" applyFont="1" applyBorder="1" applyAlignment="1">
      <alignment horizontal="left" vertical="center"/>
    </xf>
    <xf numFmtId="0" fontId="25" fillId="0" borderId="4" xfId="0" applyFont="1" applyBorder="1" applyAlignment="1">
      <alignment horizontal="center" vertical="center" shrinkToFit="1"/>
    </xf>
    <xf numFmtId="0" fontId="6" fillId="0" borderId="0" xfId="0" applyFont="1" applyAlignment="1">
      <alignment horizontal="center" vertical="center"/>
    </xf>
    <xf numFmtId="0" fontId="3" fillId="0" borderId="0" xfId="0" applyFont="1" applyAlignment="1">
      <alignment horizontal="center" vertical="center"/>
    </xf>
    <xf numFmtId="0" fontId="4" fillId="0" borderId="0" xfId="0" applyFont="1" applyAlignment="1">
      <alignment horizontal="left" vertical="center"/>
    </xf>
    <xf numFmtId="0" fontId="3" fillId="0" borderId="4" xfId="0" applyFont="1" applyBorder="1" applyAlignment="1">
      <alignment horizontal="center" vertical="center" shrinkToFit="1"/>
    </xf>
    <xf numFmtId="49" fontId="22" fillId="0" borderId="4" xfId="0" applyNumberFormat="1"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49" fontId="8" fillId="0" borderId="4" xfId="0" applyNumberFormat="1" applyFont="1" applyBorder="1" applyAlignment="1">
      <alignment horizontal="center" vertical="center"/>
    </xf>
    <xf numFmtId="0" fontId="0" fillId="0" borderId="4" xfId="0" applyBorder="1" applyAlignment="1">
      <alignment horizontal="center" vertical="center"/>
    </xf>
    <xf numFmtId="0" fontId="16" fillId="6" borderId="0" xfId="0" applyFont="1" applyFill="1" applyAlignment="1">
      <alignment horizontal="center" vertical="center"/>
    </xf>
    <xf numFmtId="0" fontId="15" fillId="6" borderId="0" xfId="0" applyFont="1" applyFill="1" applyAlignment="1">
      <alignment horizontal="center" vertical="center"/>
    </xf>
    <xf numFmtId="0" fontId="17" fillId="6" borderId="0" xfId="0" applyFont="1" applyFill="1" applyAlignment="1">
      <alignment horizontal="center" vertical="center" wrapText="1"/>
    </xf>
    <xf numFmtId="0" fontId="0" fillId="4" borderId="4" xfId="0" applyFill="1" applyBorder="1" applyAlignment="1">
      <alignment horizontal="center" vertical="center"/>
    </xf>
    <xf numFmtId="0" fontId="14" fillId="2" borderId="4" xfId="0" applyFont="1" applyFill="1" applyBorder="1" applyAlignment="1">
      <alignment horizontal="center" vertical="center" shrinkToFit="1"/>
    </xf>
    <xf numFmtId="0" fontId="3" fillId="2" borderId="4" xfId="0" applyFont="1" applyFill="1" applyBorder="1" applyAlignment="1">
      <alignment horizontal="center" vertical="center"/>
    </xf>
    <xf numFmtId="0" fontId="7" fillId="2" borderId="11" xfId="0" applyFont="1" applyFill="1" applyBorder="1" applyAlignment="1">
      <alignment horizontal="center" vertical="center"/>
    </xf>
    <xf numFmtId="0" fontId="3" fillId="2" borderId="11"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4" xfId="0" applyFont="1" applyFill="1" applyBorder="1" applyAlignment="1">
      <alignment horizontal="center" vertical="center"/>
    </xf>
    <xf numFmtId="0" fontId="13" fillId="2" borderId="7" xfId="0" applyFont="1" applyFill="1" applyBorder="1" applyAlignment="1">
      <alignment horizontal="center" vertical="center" shrinkToFit="1"/>
    </xf>
    <xf numFmtId="0" fontId="13" fillId="2" borderId="5" xfId="0" applyFont="1" applyFill="1" applyBorder="1" applyAlignment="1">
      <alignment horizontal="center" vertical="center" shrinkToFit="1"/>
    </xf>
    <xf numFmtId="0" fontId="13" fillId="2" borderId="6" xfId="0" applyFont="1" applyFill="1" applyBorder="1" applyAlignment="1">
      <alignment horizontal="center" vertical="center" shrinkToFi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0" fillId="0" borderId="0" xfId="0" applyAlignment="1">
      <alignment horizontal="center" vertical="center" wrapText="1"/>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checked="Checked" firstButton="1"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13</xdr:row>
          <xdr:rowOff>57150</xdr:rowOff>
        </xdr:from>
        <xdr:to>
          <xdr:col>3</xdr:col>
          <xdr:colOff>1390650</xdr:colOff>
          <xdr:row>14</xdr:row>
          <xdr:rowOff>190500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13</xdr:row>
          <xdr:rowOff>57150</xdr:rowOff>
        </xdr:from>
        <xdr:to>
          <xdr:col>3</xdr:col>
          <xdr:colOff>1390650</xdr:colOff>
          <xdr:row>14</xdr:row>
          <xdr:rowOff>190500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657225</xdr:colOff>
          <xdr:row>7</xdr:row>
          <xdr:rowOff>66675</xdr:rowOff>
        </xdr:from>
        <xdr:to>
          <xdr:col>4</xdr:col>
          <xdr:colOff>28575</xdr:colOff>
          <xdr:row>9</xdr:row>
          <xdr:rowOff>161925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257175</xdr:colOff>
          <xdr:row>5</xdr:row>
          <xdr:rowOff>190500</xdr:rowOff>
        </xdr:from>
        <xdr:to>
          <xdr:col>15</xdr:col>
          <xdr:colOff>161925</xdr:colOff>
          <xdr:row>8</xdr:row>
          <xdr:rowOff>85725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説明</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47625</xdr:colOff>
          <xdr:row>7</xdr:row>
          <xdr:rowOff>19050</xdr:rowOff>
        </xdr:from>
        <xdr:to>
          <xdr:col>10</xdr:col>
          <xdr:colOff>38100</xdr:colOff>
          <xdr:row>9</xdr:row>
          <xdr:rowOff>152400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 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266700</xdr:colOff>
          <xdr:row>6</xdr:row>
          <xdr:rowOff>0</xdr:rowOff>
        </xdr:from>
        <xdr:to>
          <xdr:col>12</xdr:col>
          <xdr:colOff>428625</xdr:colOff>
          <xdr:row>7</xdr:row>
          <xdr:rowOff>114300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記録する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xdr:colOff>
          <xdr:row>19</xdr:row>
          <xdr:rowOff>38100</xdr:rowOff>
        </xdr:from>
        <xdr:to>
          <xdr:col>9</xdr:col>
          <xdr:colOff>190500</xdr:colOff>
          <xdr:row>25</xdr:row>
          <xdr:rowOff>85725</xdr:rowOff>
        </xdr:to>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モード設定</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161925</xdr:rowOff>
        </xdr:from>
        <xdr:to>
          <xdr:col>8</xdr:col>
          <xdr:colOff>152400</xdr:colOff>
          <xdr:row>20</xdr:row>
          <xdr:rowOff>171450</xdr:rowOff>
        </xdr:to>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68580" rIns="0" bIns="68580" anchor="ctr" upright="1"/>
            <a:lstStyle/>
            <a:p>
              <a:pPr algn="l" rtl="0">
                <a:defRPr sz="1000"/>
              </a:pPr>
              <a:r>
                <a:rPr lang="ja-JP" altLang="en-US" sz="1100" b="0" i="0" u="none" strike="noStrike" baseline="0">
                  <a:solidFill>
                    <a:srgbClr val="000000"/>
                  </a:solidFill>
                  <a:latin typeface="游ゴシック"/>
                  <a:ea typeface="游ゴシック"/>
                </a:rPr>
                <a:t>通常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20</xdr:row>
          <xdr:rowOff>161925</xdr:rowOff>
        </xdr:from>
        <xdr:to>
          <xdr:col>8</xdr:col>
          <xdr:colOff>590550</xdr:colOff>
          <xdr:row>21</xdr:row>
          <xdr:rowOff>171450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教員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21</xdr:row>
          <xdr:rowOff>161925</xdr:rowOff>
        </xdr:from>
        <xdr:to>
          <xdr:col>8</xdr:col>
          <xdr:colOff>152400</xdr:colOff>
          <xdr:row>22</xdr:row>
          <xdr:rowOff>171450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debug</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65</xdr:row>
          <xdr:rowOff>0</xdr:rowOff>
        </xdr:from>
        <xdr:to>
          <xdr:col>5</xdr:col>
          <xdr:colOff>428625</xdr:colOff>
          <xdr:row>67</xdr:row>
          <xdr:rowOff>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600-00000C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システムの初期化</a:t>
              </a:r>
            </a:p>
          </xdr:txBody>
        </xdr:sp>
        <xdr:clientData fPrintsWithSheet="0"/>
      </xdr:twoCellAnchor>
    </mc:Choice>
    <mc:Fallback/>
  </mc:AlternateContent>
  <xdr:twoCellAnchor editAs="oneCell">
    <xdr:from>
      <xdr:col>0</xdr:col>
      <xdr:colOff>27653</xdr:colOff>
      <xdr:row>34</xdr:row>
      <xdr:rowOff>117782</xdr:rowOff>
    </xdr:from>
    <xdr:to>
      <xdr:col>9</xdr:col>
      <xdr:colOff>370719</xdr:colOff>
      <xdr:row>50</xdr:row>
      <xdr:rowOff>10241</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t="16299"/>
        <a:stretch/>
      </xdr:blipFill>
      <xdr:spPr>
        <a:xfrm>
          <a:off x="27653" y="7917016"/>
          <a:ext cx="6685936" cy="349762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65</xdr:row>
          <xdr:rowOff>9525</xdr:rowOff>
        </xdr:from>
        <xdr:to>
          <xdr:col>2</xdr:col>
          <xdr:colOff>561975</xdr:colOff>
          <xdr:row>66</xdr:row>
          <xdr:rowOff>228600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600-000010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初期設定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219075</xdr:colOff>
          <xdr:row>64</xdr:row>
          <xdr:rowOff>238125</xdr:rowOff>
        </xdr:from>
        <xdr:to>
          <xdr:col>8</xdr:col>
          <xdr:colOff>504825</xdr:colOff>
          <xdr:row>66</xdr:row>
          <xdr:rowOff>238125</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600-000011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授業評価の初期化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590550</xdr:colOff>
          <xdr:row>19</xdr:row>
          <xdr:rowOff>57150</xdr:rowOff>
        </xdr:from>
        <xdr:to>
          <xdr:col>11</xdr:col>
          <xdr:colOff>552450</xdr:colOff>
          <xdr:row>25</xdr:row>
          <xdr:rowOff>104775</xdr:rowOff>
        </xdr:to>
        <xdr:sp macro="" textlink="">
          <xdr:nvSpPr>
            <xdr:cNvPr id="3090" name="Group Box 18" hidden="1">
              <a:extLst>
                <a:ext uri="{63B3BB69-23CF-44E3-9099-C40C66FF867C}">
                  <a14:compatExt spid="_x0000_s3090"/>
                </a:ext>
                <a:ext uri="{FF2B5EF4-FFF2-40B4-BE49-F238E27FC236}">
                  <a16:creationId xmlns:a16="http://schemas.microsoft.com/office/drawing/2014/main" id="{00000000-0008-0000-0600-00001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36576" rIns="0" bIns="0" anchor="t" upright="1"/>
            <a:lstStyle/>
            <a:p>
              <a:pPr algn="l" rtl="0">
                <a:defRPr sz="1000"/>
              </a:pPr>
              <a:r>
                <a:rPr lang="ja-JP" altLang="en-US" sz="900" b="0" i="0" u="none" strike="noStrike" baseline="0">
                  <a:solidFill>
                    <a:srgbClr val="000000"/>
                  </a:solidFill>
                  <a:latin typeface="Meiryo UI"/>
                  <a:ea typeface="Meiryo UI"/>
                </a:rPr>
                <a:t>変更履歴記録設定</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19</xdr:row>
          <xdr:rowOff>190500</xdr:rowOff>
        </xdr:from>
        <xdr:to>
          <xdr:col>11</xdr:col>
          <xdr:colOff>390525</xdr:colOff>
          <xdr:row>20</xdr:row>
          <xdr:rowOff>200025</xdr:rowOff>
        </xdr:to>
        <xdr:sp macro="" textlink="">
          <xdr:nvSpPr>
            <xdr:cNvPr id="3091" name="Option Button 19" hidden="1">
              <a:extLst>
                <a:ext uri="{63B3BB69-23CF-44E3-9099-C40C66FF867C}">
                  <a14:compatExt spid="_x0000_s3091"/>
                </a:ext>
                <a:ext uri="{FF2B5EF4-FFF2-40B4-BE49-F238E27FC236}">
                  <a16:creationId xmlns:a16="http://schemas.microsoft.com/office/drawing/2014/main" id="{00000000-0008-0000-06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オン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20</xdr:row>
          <xdr:rowOff>190500</xdr:rowOff>
        </xdr:from>
        <xdr:to>
          <xdr:col>11</xdr:col>
          <xdr:colOff>390525</xdr:colOff>
          <xdr:row>21</xdr:row>
          <xdr:rowOff>200025</xdr:rowOff>
        </xdr:to>
        <xdr:sp macro="" textlink="">
          <xdr:nvSpPr>
            <xdr:cNvPr id="3099" name="Option Button 27" hidden="1">
              <a:extLst>
                <a:ext uri="{63B3BB69-23CF-44E3-9099-C40C66FF867C}">
                  <a14:compatExt spid="_x0000_s3099"/>
                </a:ext>
                <a:ext uri="{FF2B5EF4-FFF2-40B4-BE49-F238E27FC236}">
                  <a16:creationId xmlns:a16="http://schemas.microsoft.com/office/drawing/2014/main" id="{00000000-0008-0000-06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36576" rIns="0" bIns="36576" anchor="ctr" upright="1"/>
            <a:lstStyle/>
            <a:p>
              <a:pPr algn="l" rtl="0">
                <a:defRPr sz="1000"/>
              </a:pPr>
              <a:r>
                <a:rPr lang="ja-JP" altLang="en-US" sz="900" b="0" i="0" u="none" strike="noStrike" baseline="0">
                  <a:solidFill>
                    <a:srgbClr val="000000"/>
                  </a:solidFill>
                  <a:latin typeface="Meiryo UI"/>
                  <a:ea typeface="Meiryo UI"/>
                </a:rPr>
                <a:t>オフ</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142875</xdr:colOff>
          <xdr:row>65</xdr:row>
          <xdr:rowOff>9525</xdr:rowOff>
        </xdr:from>
        <xdr:to>
          <xdr:col>11</xdr:col>
          <xdr:colOff>371475</xdr:colOff>
          <xdr:row>67</xdr:row>
          <xdr:rowOff>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600-00001C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vmlDrawing" Target="../drawings/vmlDrawing5.v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951C9-6C2D-4200-98BA-94BE061A40E8}">
  <sheetPr codeName="Sheet7"/>
  <dimension ref="A2:T11"/>
  <sheetViews>
    <sheetView tabSelected="1" zoomScale="98" zoomScaleNormal="98" workbookViewId="0">
      <selection activeCell="L4" sqref="L4"/>
    </sheetView>
  </sheetViews>
  <sheetFormatPr defaultRowHeight="17.649999999999999" x14ac:dyDescent="0.7"/>
  <cols>
    <col min="1" max="1" width="9.75" bestFit="1" customWidth="1"/>
    <col min="2" max="2" width="4.625" customWidth="1"/>
    <col min="3" max="3" width="16.625" customWidth="1"/>
    <col min="4" max="4" width="36.375" customWidth="1"/>
    <col min="5" max="7" width="3.625" customWidth="1"/>
    <col min="8" max="8" width="4.625" customWidth="1"/>
    <col min="9" max="9" width="7.25" customWidth="1"/>
    <col min="18" max="20" width="3.625" customWidth="1"/>
    <col min="21" max="21" width="4.625" customWidth="1"/>
  </cols>
  <sheetData>
    <row r="2" spans="1:20" ht="30" customHeight="1" x14ac:dyDescent="0.7">
      <c r="B2" s="55" t="s">
        <v>0</v>
      </c>
      <c r="C2" s="55"/>
      <c r="D2" t="s">
        <v>1</v>
      </c>
      <c r="R2" t="s">
        <v>2</v>
      </c>
      <c r="S2" t="s">
        <v>2</v>
      </c>
      <c r="T2" t="s">
        <v>3</v>
      </c>
    </row>
    <row r="3" spans="1:20" ht="30" customHeight="1" x14ac:dyDescent="0.7">
      <c r="B3" s="13" t="s">
        <v>4</v>
      </c>
      <c r="C3" s="13"/>
      <c r="D3" s="3" t="str">
        <f>設定!H8</f>
        <v>設定されていません。設定画面で設定してください。</v>
      </c>
      <c r="F3" s="56" t="s">
        <v>5</v>
      </c>
      <c r="G3" s="56"/>
    </row>
    <row r="4" spans="1:20" ht="40.15" customHeight="1" x14ac:dyDescent="0.7">
      <c r="A4" s="15">
        <f ca="1">TODAY()+1</f>
        <v>44731</v>
      </c>
      <c r="B4" s="14" t="str">
        <f ca="1">TEXT(A4,"aaa")</f>
        <v>日</v>
      </c>
      <c r="C4" t="s">
        <v>6</v>
      </c>
    </row>
    <row r="5" spans="1:20" ht="40.15" customHeight="1" x14ac:dyDescent="0.7">
      <c r="B5" s="12" t="s">
        <v>7</v>
      </c>
      <c r="C5" s="3" t="s">
        <v>8</v>
      </c>
      <c r="D5" s="3" t="s">
        <v>9</v>
      </c>
      <c r="E5" s="7" t="str">
        <f>設定!I3</f>
        <v>挨拶</v>
      </c>
      <c r="F5" s="7" t="str">
        <f>設定!I4</f>
        <v>着席</v>
      </c>
      <c r="G5" s="7" t="str">
        <f>設定!I5</f>
        <v>態度</v>
      </c>
      <c r="H5" t="s">
        <v>10</v>
      </c>
    </row>
    <row r="6" spans="1:20" ht="40.15" customHeight="1" x14ac:dyDescent="0.7">
      <c r="B6" s="4">
        <v>1</v>
      </c>
      <c r="C6" s="1" t="e" cm="1">
        <f t="array" aca="1" ref="C6" ca="1">_xlfn.IFS(COUNTIF(B4,"月"),設定!B20,COUNTIF(B4,"火"),設定!C20,COUNTIF(B4,"水"),設定!D20,COUNTIF(B4,"木"),設定!E20,COUNTIF(B4,"金"),設定!F20)</f>
        <v>#N/A</v>
      </c>
      <c r="D6" s="16" t="str">
        <f ca="1">IFERROR(INDIRECT(C6&amp;"!B10"),"")</f>
        <v/>
      </c>
      <c r="E6" t="str">
        <f ca="1">IFERROR(INDIRECT(C6&amp;"!F6"),"")</f>
        <v/>
      </c>
      <c r="F6" t="str">
        <f ca="1">IFERROR(INDIRECT(C6&amp;"!F7"),"")</f>
        <v/>
      </c>
      <c r="G6" t="str">
        <f ca="1">IFERROR(INDIRECT(C6&amp;"!F8"),"")</f>
        <v/>
      </c>
      <c r="H6" t="s">
        <v>11</v>
      </c>
    </row>
    <row r="7" spans="1:20" ht="40.15" customHeight="1" x14ac:dyDescent="0.7">
      <c r="B7" s="4">
        <v>2</v>
      </c>
      <c r="C7" s="1" t="e" cm="1">
        <f t="array" aca="1" ref="C7" ca="1">_xlfn.IFS(COUNTIF(B4,"月"),設定!B21,COUNTIF(B4,"火"),設定!C21,COUNTIF(B4,"水"),設定!D21,COUNTIF(B4,"木"),設定!E21,COUNTIF(B4,"金"),設定!F21)</f>
        <v>#N/A</v>
      </c>
      <c r="D7" s="16" t="str">
        <f t="shared" ref="D7:D10" ca="1" si="0">IFERROR(INDIRECT(C7&amp;"!B10"),"")</f>
        <v/>
      </c>
      <c r="E7" t="str">
        <f ca="1">IFERROR(INDIRECT(C7&amp;"!F6"),"")</f>
        <v/>
      </c>
      <c r="F7" t="str">
        <f ca="1">IFERROR(INDIRECT(C7&amp;"!F7"),"")</f>
        <v/>
      </c>
      <c r="G7" t="str">
        <f ca="1">IFERROR(INDIRECT(C7&amp;"!F8"),"")</f>
        <v/>
      </c>
    </row>
    <row r="8" spans="1:20" ht="40.15" customHeight="1" x14ac:dyDescent="0.7">
      <c r="B8" s="4">
        <v>3</v>
      </c>
      <c r="C8" s="1" t="e" cm="1">
        <f t="array" aca="1" ref="C8" ca="1">_xlfn.IFS(COUNTIF(B4,"月"),設定!B22,COUNTIF(B4,"火"),設定!C22,COUNTIF(B4,"水"),設定!D22,COUNTIF(B4,"木"),設定!E22,COUNTIF(B4,"金"),設定!F22)</f>
        <v>#N/A</v>
      </c>
      <c r="D8" s="16" t="str">
        <f t="shared" ca="1" si="0"/>
        <v/>
      </c>
    </row>
    <row r="9" spans="1:20" ht="40.15" customHeight="1" x14ac:dyDescent="0.7">
      <c r="B9" s="4">
        <v>4</v>
      </c>
      <c r="C9" s="1" t="e" cm="1">
        <f t="array" aca="1" ref="C9" ca="1">_xlfn.IFS(COUNTIF(B4,"月"),設定!B23,COUNTIF(B4,"火"),設定!C23,COUNTIF(B4,"水"),設定!D23,COUNTIF(B4,"木"),設定!E23,COUNTIF(B4,"金"),設定!F23)</f>
        <v>#N/A</v>
      </c>
      <c r="D9" s="16" t="str">
        <f t="shared" ca="1" si="0"/>
        <v/>
      </c>
    </row>
    <row r="10" spans="1:20" ht="40.15" customHeight="1" x14ac:dyDescent="0.7">
      <c r="B10" s="4">
        <v>5</v>
      </c>
      <c r="C10" s="1" t="e" cm="1">
        <f t="array" aca="1" ref="C10" ca="1">_xlfn.IFS(COUNTIF(B4,"月"),設定!B24,COUNTIF(B4,"火"),設定!C24,COUNTIF(B4,"水"),設定!D24,COUNTIF(B4,"木"),設定!E24,COUNTIF(B4,"金"),設定!F24)</f>
        <v>#N/A</v>
      </c>
      <c r="D10" s="16" t="str">
        <f t="shared" ca="1" si="0"/>
        <v/>
      </c>
    </row>
    <row r="11" spans="1:20" ht="40.15" customHeight="1" x14ac:dyDescent="0.7">
      <c r="B11" s="4">
        <v>6</v>
      </c>
      <c r="C11" s="1" t="e" cm="1">
        <f t="array" aca="1" ref="C11" ca="1">_xlfn.IFS(COUNTIF(B4,"月"),設定!B25,COUNTIF(B4,"火"),設定!C25,COUNTIF(B4,"水"),設定!D25,COUNTIF(B4,"木"),設定!E25,COUNTIF(B4,"金"),設定!F25)</f>
        <v>#N/A</v>
      </c>
    </row>
  </sheetData>
  <mergeCells count="2">
    <mergeCell ref="B2:C2"/>
    <mergeCell ref="F3:G3"/>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astespecialmz">
                <anchor moveWithCells="1" sizeWithCells="1">
                  <from>
                    <xdr:col>2</xdr:col>
                    <xdr:colOff>123825</xdr:colOff>
                    <xdr:row>13</xdr:row>
                    <xdr:rowOff>57150</xdr:rowOff>
                  </from>
                  <to>
                    <xdr:col>3</xdr:col>
                    <xdr:colOff>1390650</xdr:colOff>
                    <xdr:row>14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CEE06-59FB-45DE-9DD8-9BB41BF441CF}">
  <sheetPr codeName="Sheet2"/>
  <dimension ref="A2:T11"/>
  <sheetViews>
    <sheetView topLeftCell="A2" workbookViewId="0">
      <selection activeCell="E6" sqref="E6"/>
    </sheetView>
  </sheetViews>
  <sheetFormatPr defaultRowHeight="17.649999999999999" x14ac:dyDescent="0.7"/>
  <cols>
    <col min="1" max="1" width="9.75" bestFit="1" customWidth="1"/>
    <col min="2" max="2" width="4.625" customWidth="1"/>
    <col min="3" max="3" width="16.625" customWidth="1"/>
    <col min="4" max="4" width="36.375" customWidth="1"/>
    <col min="5" max="7" width="3.625" customWidth="1"/>
    <col min="8" max="8" width="4.625" customWidth="1"/>
    <col min="9" max="9" width="7.25" customWidth="1"/>
    <col min="18" max="20" width="3.625" customWidth="1"/>
    <col min="21" max="21" width="4.625" customWidth="1"/>
  </cols>
  <sheetData>
    <row r="2" spans="1:20" ht="30" customHeight="1" x14ac:dyDescent="0.7">
      <c r="B2" s="55" t="s">
        <v>0</v>
      </c>
      <c r="C2" s="55"/>
      <c r="D2" t="s">
        <v>1</v>
      </c>
      <c r="R2" t="s">
        <v>2</v>
      </c>
      <c r="S2" t="s">
        <v>12</v>
      </c>
      <c r="T2" t="s">
        <v>13</v>
      </c>
    </row>
    <row r="3" spans="1:20" ht="30" customHeight="1" x14ac:dyDescent="0.7">
      <c r="B3" s="13" t="s">
        <v>4</v>
      </c>
      <c r="C3" s="13"/>
      <c r="D3" s="3" t="str">
        <f>設定!H8</f>
        <v>設定されていません。設定画面で設定してください。</v>
      </c>
      <c r="F3" s="56" t="s">
        <v>5</v>
      </c>
      <c r="G3" s="56"/>
    </row>
    <row r="4" spans="1:20" ht="40.15" customHeight="1" x14ac:dyDescent="0.7">
      <c r="A4" s="15">
        <f ca="1">TODAY()</f>
        <v>44730</v>
      </c>
      <c r="B4" s="14" t="str">
        <f ca="1">TEXT(A4,"aaa")</f>
        <v>土</v>
      </c>
      <c r="C4" t="s">
        <v>6</v>
      </c>
    </row>
    <row r="5" spans="1:20" ht="40.15" customHeight="1" x14ac:dyDescent="0.7">
      <c r="B5" s="12" t="s">
        <v>7</v>
      </c>
      <c r="C5" s="3" t="s">
        <v>8</v>
      </c>
      <c r="D5" s="3" t="s">
        <v>9</v>
      </c>
      <c r="E5" s="7" t="str">
        <f>設定!I3</f>
        <v>挨拶</v>
      </c>
      <c r="F5" s="7" t="str">
        <f>設定!I4</f>
        <v>着席</v>
      </c>
      <c r="G5" s="7" t="str">
        <f>設定!I5</f>
        <v>態度</v>
      </c>
      <c r="H5" t="s">
        <v>10</v>
      </c>
    </row>
    <row r="6" spans="1:20" ht="40.15" customHeight="1" x14ac:dyDescent="0.7">
      <c r="B6" s="4">
        <v>1</v>
      </c>
      <c r="C6" s="1" t="e" cm="1">
        <f t="array" aca="1" ref="C6" ca="1">_xlfn.IFS(COUNTIF(B4,"月"),設定!B20,COUNTIF(B4,"火"),設定!C20,COUNTIF(B4,"水"),設定!D20,COUNTIF(B4,"木"),設定!E20,COUNTIF(B4,"金"),設定!F20)</f>
        <v>#N/A</v>
      </c>
      <c r="D6" s="16" t="str">
        <f ca="1">IFERROR(INDIRECT(C6&amp;"!B10"),"")</f>
        <v/>
      </c>
      <c r="E6" t="str">
        <f ca="1">IFERROR(INDIRECT(C6&amp;"!F6"),"")</f>
        <v/>
      </c>
      <c r="F6" t="s">
        <v>12</v>
      </c>
      <c r="G6" t="s">
        <v>13</v>
      </c>
      <c r="H6" t="s">
        <v>11</v>
      </c>
    </row>
    <row r="7" spans="1:20" ht="40.15" customHeight="1" x14ac:dyDescent="0.7">
      <c r="B7" s="4">
        <v>2</v>
      </c>
      <c r="C7" s="1" t="e" cm="1">
        <f t="array" aca="1" ref="C7" ca="1">_xlfn.IFS(COUNTIF(B4,"月"),設定!B21,COUNTIF(B4,"火"),設定!C21,COUNTIF(B4,"水"),設定!D21,COUNTIF(B4,"木"),設定!E21,COUNTIF(B4,"金"),設定!F21)</f>
        <v>#N/A</v>
      </c>
      <c r="D7" s="16" t="str">
        <f t="shared" ref="D7:D11" ca="1" si="0">IFERROR(INDIRECT(C7&amp;"!B10"),"")</f>
        <v/>
      </c>
      <c r="E7" t="str">
        <f ca="1">IFERROR(INDIRECT(C7&amp;"!F6"),"")</f>
        <v/>
      </c>
      <c r="F7" t="str">
        <f ca="1">IFERROR(INDIRECT(C7&amp;"!F7"),"")</f>
        <v/>
      </c>
      <c r="G7" t="str">
        <f ca="1">IFERROR(INDIRECT(C7&amp;"!F8"),"")</f>
        <v/>
      </c>
    </row>
    <row r="8" spans="1:20" ht="40.15" customHeight="1" x14ac:dyDescent="0.7">
      <c r="B8" s="4">
        <v>3</v>
      </c>
      <c r="C8" s="1" t="e" cm="1">
        <f t="array" aca="1" ref="C8" ca="1">_xlfn.IFS(COUNTIF(B4,"月"),設定!B22,COUNTIF(B4,"火"),設定!C22,COUNTIF(B4,"水"),設定!D22,COUNTIF(B4,"木"),設定!E22,COUNTIF(B4,"金"),設定!F22)</f>
        <v>#N/A</v>
      </c>
      <c r="D8" s="16" t="str">
        <f t="shared" ca="1" si="0"/>
        <v/>
      </c>
    </row>
    <row r="9" spans="1:20" ht="40.15" customHeight="1" x14ac:dyDescent="0.7">
      <c r="B9" s="4">
        <v>4</v>
      </c>
      <c r="C9" s="1" t="e" cm="1">
        <f t="array" aca="1" ref="C9" ca="1">_xlfn.IFS(COUNTIF(B4,"月"),設定!B23,COUNTIF(B4,"火"),設定!C23,COUNTIF(B4,"水"),設定!D23,COUNTIF(B4,"木"),設定!E23,COUNTIF(B4,"金"),設定!F23)</f>
        <v>#N/A</v>
      </c>
      <c r="D9" s="16" t="str">
        <f t="shared" ca="1" si="0"/>
        <v/>
      </c>
    </row>
    <row r="10" spans="1:20" ht="40.15" customHeight="1" x14ac:dyDescent="0.7">
      <c r="B10" s="4">
        <v>5</v>
      </c>
      <c r="C10" s="1" t="e" cm="1">
        <f t="array" aca="1" ref="C10" ca="1">_xlfn.IFS(COUNTIF(B4,"月"),設定!B24,COUNTIF(B4,"火"),設定!C24,COUNTIF(B4,"水"),設定!D24,COUNTIF(B4,"木"),設定!E24,COUNTIF(B4,"金"),設定!F24)</f>
        <v>#N/A</v>
      </c>
      <c r="D10" s="16" t="str">
        <f t="shared" ca="1" si="0"/>
        <v/>
      </c>
    </row>
    <row r="11" spans="1:20" ht="40.15" customHeight="1" x14ac:dyDescent="0.7">
      <c r="B11" s="4">
        <v>6</v>
      </c>
      <c r="C11" s="1" t="e" cm="1">
        <f t="array" aca="1" ref="C11" ca="1">_xlfn.IFS(COUNTIF(B4,"月"),設定!B25,COUNTIF(B4,"火"),設定!C25,COUNTIF(B4,"水"),設定!D25,COUNTIF(B4,"木"),設定!E25,COUNTIF(B4,"金"),設定!F25)</f>
        <v>#N/A</v>
      </c>
      <c r="D11" s="16" t="str">
        <f t="shared" ca="1" si="0"/>
        <v/>
      </c>
    </row>
  </sheetData>
  <mergeCells count="2">
    <mergeCell ref="B2:C2"/>
    <mergeCell ref="F3:G3"/>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stespecialmz">
                <anchor moveWithCells="1" sizeWithCells="1">
                  <from>
                    <xdr:col>2</xdr:col>
                    <xdr:colOff>123825</xdr:colOff>
                    <xdr:row>13</xdr:row>
                    <xdr:rowOff>57150</xdr:rowOff>
                  </from>
                  <to>
                    <xdr:col>3</xdr:col>
                    <xdr:colOff>1390650</xdr:colOff>
                    <xdr:row>14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57BB1-D5D0-4BAE-8D1D-0344615B2D42}">
  <sheetPr codeName="Sheet14"/>
  <dimension ref="A1:L15"/>
  <sheetViews>
    <sheetView workbookViewId="0">
      <selection activeCell="F19" sqref="F19"/>
    </sheetView>
  </sheetViews>
  <sheetFormatPr defaultRowHeight="17.649999999999999" x14ac:dyDescent="0.7"/>
  <sheetData>
    <row r="1" spans="1:12" x14ac:dyDescent="0.7">
      <c r="A1" s="5"/>
      <c r="B1" s="5"/>
      <c r="C1" s="5"/>
      <c r="D1" s="5"/>
      <c r="E1" s="5"/>
      <c r="F1" s="5"/>
      <c r="G1" s="17"/>
      <c r="H1" s="17"/>
      <c r="I1" s="17"/>
      <c r="J1" s="17"/>
      <c r="K1" s="17"/>
      <c r="L1" s="17"/>
    </row>
    <row r="2" spans="1:12" x14ac:dyDescent="0.7">
      <c r="A2" s="5"/>
      <c r="B2" s="59" t="s">
        <v>14</v>
      </c>
      <c r="C2" s="59"/>
      <c r="D2" s="59"/>
      <c r="E2" s="59"/>
      <c r="F2" s="5"/>
      <c r="G2" s="17"/>
      <c r="H2" s="62" t="s">
        <v>15</v>
      </c>
      <c r="I2" s="58"/>
      <c r="J2" s="58"/>
      <c r="K2" s="58"/>
      <c r="L2" s="17"/>
    </row>
    <row r="3" spans="1:12" x14ac:dyDescent="0.7">
      <c r="A3" s="5"/>
      <c r="B3" s="60" t="s">
        <v>16</v>
      </c>
      <c r="C3" s="60"/>
      <c r="D3" s="60"/>
      <c r="E3" s="60"/>
      <c r="F3" s="5"/>
      <c r="G3" s="17"/>
      <c r="H3" s="63"/>
      <c r="I3" s="63"/>
      <c r="J3" s="63"/>
      <c r="K3" s="63"/>
      <c r="L3" s="17"/>
    </row>
    <row r="4" spans="1:12" x14ac:dyDescent="0.7">
      <c r="A4" s="5"/>
      <c r="B4" s="60" t="s">
        <v>17</v>
      </c>
      <c r="C4" s="60"/>
      <c r="D4" s="60"/>
      <c r="E4" s="60"/>
      <c r="F4" s="5"/>
      <c r="G4" s="17"/>
      <c r="H4" s="58"/>
      <c r="I4" s="58"/>
      <c r="J4" s="58"/>
      <c r="K4" s="58"/>
    </row>
    <row r="5" spans="1:12" x14ac:dyDescent="0.7">
      <c r="A5" s="5"/>
      <c r="B5" s="5"/>
      <c r="C5" s="5"/>
      <c r="D5" s="5"/>
      <c r="E5" s="5"/>
      <c r="F5" s="5"/>
      <c r="G5" s="17"/>
      <c r="H5" s="17"/>
      <c r="I5" s="17"/>
      <c r="J5" s="17"/>
      <c r="K5" s="17"/>
      <c r="L5" s="17"/>
    </row>
    <row r="6" spans="1:12" x14ac:dyDescent="0.7">
      <c r="A6" s="5"/>
      <c r="B6" s="5"/>
      <c r="C6" s="61">
        <v>25</v>
      </c>
      <c r="D6" s="61"/>
      <c r="E6" s="5"/>
      <c r="F6" s="5"/>
      <c r="G6" s="17"/>
      <c r="H6" s="17"/>
      <c r="I6" s="58"/>
      <c r="J6" s="58"/>
      <c r="K6" s="17"/>
      <c r="L6" s="17"/>
    </row>
    <row r="7" spans="1:12" x14ac:dyDescent="0.7">
      <c r="A7" s="5"/>
      <c r="B7" s="5"/>
      <c r="C7" s="61"/>
      <c r="D7" s="61"/>
      <c r="E7" s="5"/>
      <c r="F7" s="5"/>
      <c r="G7" s="17"/>
      <c r="H7" s="17"/>
      <c r="I7" s="58"/>
      <c r="J7" s="58"/>
      <c r="K7" s="17"/>
      <c r="L7" s="17"/>
    </row>
    <row r="8" spans="1:12" x14ac:dyDescent="0.7">
      <c r="A8" s="5"/>
      <c r="B8" s="5"/>
      <c r="C8" s="5"/>
      <c r="D8" s="5"/>
      <c r="E8" s="5"/>
      <c r="F8" s="5"/>
      <c r="G8" s="17"/>
      <c r="H8" s="17"/>
      <c r="I8" s="17"/>
      <c r="J8" s="17"/>
      <c r="K8" s="17"/>
      <c r="L8" s="17"/>
    </row>
    <row r="9" spans="1:12" x14ac:dyDescent="0.7">
      <c r="A9" s="5"/>
      <c r="B9" s="5"/>
      <c r="C9" s="5"/>
      <c r="D9" s="5"/>
      <c r="E9" s="5"/>
      <c r="F9" s="5"/>
      <c r="G9" s="17"/>
      <c r="H9" s="17"/>
      <c r="I9" s="17"/>
      <c r="J9" s="17"/>
      <c r="K9" s="17"/>
      <c r="L9" s="17"/>
    </row>
    <row r="10" spans="1:12" x14ac:dyDescent="0.7">
      <c r="A10" s="5"/>
      <c r="B10" s="5"/>
      <c r="C10" s="5"/>
      <c r="D10" s="5"/>
      <c r="E10" s="5"/>
      <c r="F10" s="5"/>
      <c r="G10" s="17"/>
      <c r="H10" s="17"/>
      <c r="I10" s="17"/>
      <c r="J10" s="17"/>
      <c r="K10" s="17"/>
      <c r="L10" s="17"/>
    </row>
    <row r="11" spans="1:12" x14ac:dyDescent="0.7">
      <c r="A11" s="5"/>
      <c r="B11" s="5"/>
      <c r="C11" s="5"/>
      <c r="D11" s="5"/>
      <c r="E11" s="57" t="s">
        <v>18</v>
      </c>
      <c r="F11" s="57"/>
      <c r="G11" s="17"/>
      <c r="H11" s="17"/>
      <c r="I11" s="17"/>
      <c r="J11" s="17"/>
      <c r="K11" s="17"/>
      <c r="L11" s="17"/>
    </row>
    <row r="12" spans="1:12" x14ac:dyDescent="0.7">
      <c r="A12" s="18"/>
      <c r="B12" s="18"/>
      <c r="C12" s="18"/>
      <c r="D12" s="18"/>
      <c r="E12" s="18"/>
      <c r="F12" s="18"/>
      <c r="G12" s="18"/>
      <c r="H12" s="18"/>
      <c r="I12" s="18"/>
      <c r="J12" s="18"/>
    </row>
    <row r="13" spans="1:12" x14ac:dyDescent="0.7">
      <c r="A13" s="18"/>
      <c r="B13" s="18"/>
      <c r="C13" s="18"/>
      <c r="D13" s="18"/>
      <c r="E13" s="18"/>
      <c r="F13" s="18"/>
      <c r="G13" s="18"/>
      <c r="H13" s="18"/>
      <c r="I13" s="18"/>
      <c r="J13" s="18"/>
    </row>
    <row r="14" spans="1:12" x14ac:dyDescent="0.7">
      <c r="A14" s="18"/>
      <c r="B14" s="18"/>
      <c r="C14" s="18"/>
      <c r="D14" s="18"/>
      <c r="E14" s="18"/>
      <c r="F14" s="18"/>
      <c r="G14" s="18"/>
      <c r="H14" s="18"/>
      <c r="I14" s="18"/>
      <c r="J14" s="18"/>
    </row>
    <row r="15" spans="1:12" x14ac:dyDescent="0.7">
      <c r="A15" s="18"/>
      <c r="B15" s="18"/>
      <c r="C15" s="18"/>
      <c r="D15" s="18"/>
      <c r="E15" s="18"/>
      <c r="F15" s="18"/>
      <c r="G15" s="18"/>
      <c r="H15" s="18"/>
      <c r="I15" s="18"/>
      <c r="J15" s="18"/>
    </row>
  </sheetData>
  <mergeCells count="9">
    <mergeCell ref="E11:F11"/>
    <mergeCell ref="H4:K4"/>
    <mergeCell ref="I6:J7"/>
    <mergeCell ref="B2:E2"/>
    <mergeCell ref="B3:E3"/>
    <mergeCell ref="B4:E4"/>
    <mergeCell ref="C6:D7"/>
    <mergeCell ref="H2:K2"/>
    <mergeCell ref="H3:K3"/>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randomnumber">
                <anchor moveWithCells="1" sizeWithCells="1">
                  <from>
                    <xdr:col>1</xdr:col>
                    <xdr:colOff>657225</xdr:colOff>
                    <xdr:row>7</xdr:row>
                    <xdr:rowOff>66675</xdr:rowOff>
                  </from>
                  <to>
                    <xdr:col>4</xdr:col>
                    <xdr:colOff>28575</xdr:colOff>
                    <xdr:row>9</xdr:row>
                    <xdr:rowOff>161925</xdr:rowOff>
                  </to>
                </anchor>
              </controlPr>
            </control>
          </mc:Choice>
        </mc:AlternateContent>
        <mc:AlternateContent xmlns:mc="http://schemas.openxmlformats.org/markup-compatibility/2006">
          <mc:Choice Requires="x14">
            <control shapeId="26626" r:id="rId5" name="Button 2">
              <controlPr defaultSize="0" print="0" autoFill="0" autoPict="0" macro="[0]!msgboxtoolsetumei">
                <anchor moveWithCells="1" sizeWithCells="1">
                  <from>
                    <xdr:col>12</xdr:col>
                    <xdr:colOff>257175</xdr:colOff>
                    <xdr:row>5</xdr:row>
                    <xdr:rowOff>190500</xdr:rowOff>
                  </from>
                  <to>
                    <xdr:col>15</xdr:col>
                    <xdr:colOff>161925</xdr:colOff>
                    <xdr:row>8</xdr:row>
                    <xdr:rowOff>85725</xdr:rowOff>
                  </to>
                </anchor>
              </controlPr>
            </control>
          </mc:Choice>
        </mc:AlternateContent>
        <mc:AlternateContent xmlns:mc="http://schemas.openxmlformats.org/markup-compatibility/2006">
          <mc:Choice Requires="x14">
            <control shapeId="26627" r:id="rId6" name="Button 3">
              <controlPr defaultSize="0" print="0" autoFill="0" autoPict="0">
                <anchor moveWithCells="1" sizeWithCells="1">
                  <from>
                    <xdr:col>8</xdr:col>
                    <xdr:colOff>47625</xdr:colOff>
                    <xdr:row>7</xdr:row>
                    <xdr:rowOff>19050</xdr:rowOff>
                  </from>
                  <to>
                    <xdr:col>10</xdr:col>
                    <xdr:colOff>38100</xdr:colOff>
                    <xdr:row>9</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7BA0-F9D3-41D9-9214-C74AF82D29FC}">
  <sheetPr codeName="Sheet8"/>
  <dimension ref="A1:BT352"/>
  <sheetViews>
    <sheetView workbookViewId="0">
      <pane ySplit="2" topLeftCell="A4" activePane="bottomLeft" state="frozen"/>
      <selection pane="bottomLeft" activeCell="A6" sqref="A6"/>
    </sheetView>
  </sheetViews>
  <sheetFormatPr defaultRowHeight="17.649999999999999" x14ac:dyDescent="0.7"/>
  <cols>
    <col min="1" max="1" width="48.75" style="25" customWidth="1"/>
    <col min="3" max="4" width="8.625" customWidth="1"/>
    <col min="5" max="5" width="4.625" customWidth="1"/>
    <col min="6" max="8" width="3.625" customWidth="1"/>
    <col min="9" max="9" width="70.625" customWidth="1"/>
    <col min="12" max="13" width="8.625" customWidth="1"/>
    <col min="14" max="14" width="4.625" customWidth="1"/>
    <col min="15" max="17" width="3.625" customWidth="1"/>
    <col min="18" max="18" width="70.625" customWidth="1"/>
    <col min="21" max="22" width="8.625" customWidth="1"/>
    <col min="23" max="23" width="4.625" customWidth="1"/>
    <col min="24" max="26" width="3.625" customWidth="1"/>
    <col min="27" max="27" width="70.625" customWidth="1"/>
    <col min="30" max="31" width="8.625" customWidth="1"/>
    <col min="32" max="32" width="4.625" customWidth="1"/>
    <col min="33" max="35" width="3.625" customWidth="1"/>
    <col min="36" max="36" width="70.625" customWidth="1"/>
    <col min="39" max="40" width="8.625" customWidth="1"/>
    <col min="41" max="41" width="4.625" customWidth="1"/>
    <col min="42" max="44" width="3.625" customWidth="1"/>
    <col min="45" max="45" width="70.625" customWidth="1"/>
    <col min="48" max="49" width="8.625" customWidth="1"/>
    <col min="50" max="50" width="4.625" customWidth="1"/>
    <col min="51" max="53" width="3.625" customWidth="1"/>
    <col min="54" max="54" width="70.625" customWidth="1"/>
    <col min="57" max="58" width="8.625" customWidth="1"/>
    <col min="59" max="59" width="4.625" customWidth="1"/>
    <col min="60" max="62" width="3.625" customWidth="1"/>
    <col min="63" max="63" width="70.625" customWidth="1"/>
    <col min="66" max="67" width="8.625" customWidth="1"/>
    <col min="68" max="68" width="4.625" customWidth="1"/>
    <col min="69" max="71" width="3.625" customWidth="1"/>
    <col min="72" max="72" width="70.625" customWidth="1"/>
  </cols>
  <sheetData>
    <row r="1" spans="1:72" ht="30" customHeight="1" x14ac:dyDescent="0.7">
      <c r="A1" s="39"/>
      <c r="B1" s="64" t="s">
        <v>109</v>
      </c>
      <c r="C1" s="64"/>
      <c r="D1" s="64"/>
      <c r="E1" s="64"/>
      <c r="F1" s="64"/>
      <c r="G1" s="64"/>
      <c r="H1" s="64"/>
      <c r="I1" s="64"/>
      <c r="K1" s="64" t="s">
        <v>112</v>
      </c>
      <c r="L1" s="64"/>
      <c r="M1" s="64"/>
      <c r="N1" s="64"/>
      <c r="O1" s="64"/>
      <c r="P1" s="64"/>
      <c r="Q1" s="64"/>
      <c r="R1" s="64"/>
      <c r="T1" s="64" t="s">
        <v>113</v>
      </c>
      <c r="U1" s="64"/>
      <c r="V1" s="64"/>
      <c r="W1" s="64"/>
      <c r="X1" s="64"/>
      <c r="Y1" s="64"/>
      <c r="Z1" s="64"/>
      <c r="AA1" s="64"/>
      <c r="AC1" s="64" t="s">
        <v>114</v>
      </c>
      <c r="AD1" s="64"/>
      <c r="AE1" s="64"/>
      <c r="AF1" s="64"/>
      <c r="AG1" s="64"/>
      <c r="AH1" s="64"/>
      <c r="AI1" s="64"/>
      <c r="AJ1" s="64"/>
      <c r="AL1" s="64" t="s">
        <v>115</v>
      </c>
      <c r="AM1" s="64"/>
      <c r="AN1" s="64"/>
      <c r="AO1" s="64"/>
      <c r="AP1" s="64"/>
      <c r="AQ1" s="64"/>
      <c r="AR1" s="64"/>
      <c r="AS1" s="64"/>
      <c r="AU1" s="64" t="s">
        <v>116</v>
      </c>
      <c r="AV1" s="64"/>
      <c r="AW1" s="64"/>
      <c r="AX1" s="64"/>
      <c r="AY1" s="64"/>
      <c r="AZ1" s="64"/>
      <c r="BA1" s="64"/>
      <c r="BB1" s="64"/>
      <c r="BD1" s="64" t="s">
        <v>109</v>
      </c>
      <c r="BE1" s="64"/>
      <c r="BF1" s="64"/>
      <c r="BG1" s="64"/>
      <c r="BH1" s="64"/>
      <c r="BI1" s="64"/>
      <c r="BJ1" s="64"/>
      <c r="BK1" s="64"/>
      <c r="BM1" s="64" t="s">
        <v>109</v>
      </c>
      <c r="BN1" s="64"/>
      <c r="BO1" s="64"/>
      <c r="BP1" s="64"/>
      <c r="BQ1" s="64"/>
      <c r="BR1" s="64"/>
      <c r="BS1" s="64"/>
      <c r="BT1" s="64"/>
    </row>
    <row r="2" spans="1:72" ht="56.25" customHeight="1" x14ac:dyDescent="0.7">
      <c r="A2" s="27" t="s">
        <v>118</v>
      </c>
      <c r="B2" s="47" t="s">
        <v>111</v>
      </c>
      <c r="C2" s="46" t="s">
        <v>8</v>
      </c>
      <c r="D2" s="46" t="s">
        <v>19</v>
      </c>
      <c r="E2" s="26" t="s">
        <v>20</v>
      </c>
      <c r="F2" s="26" t="str">
        <f>設定!I3</f>
        <v>挨拶</v>
      </c>
      <c r="G2" s="26" t="str">
        <f>設定!I4</f>
        <v>着席</v>
      </c>
      <c r="H2" s="26" t="str">
        <f>設定!I5</f>
        <v>態度</v>
      </c>
      <c r="I2" s="46" t="s">
        <v>110</v>
      </c>
      <c r="K2" s="47" t="s">
        <v>111</v>
      </c>
      <c r="L2" s="46" t="s">
        <v>8</v>
      </c>
      <c r="M2" s="46" t="s">
        <v>19</v>
      </c>
      <c r="N2" s="26" t="s">
        <v>20</v>
      </c>
      <c r="O2" s="26" t="str">
        <f>設定!I3</f>
        <v>挨拶</v>
      </c>
      <c r="P2" s="26" t="str">
        <f>設定!R4</f>
        <v>数学</v>
      </c>
      <c r="Q2" s="26" t="str">
        <f>設定!R5</f>
        <v>理科</v>
      </c>
      <c r="R2" s="46" t="s">
        <v>110</v>
      </c>
      <c r="T2" s="47" t="s">
        <v>111</v>
      </c>
      <c r="U2" s="46" t="s">
        <v>8</v>
      </c>
      <c r="V2" s="46" t="s">
        <v>19</v>
      </c>
      <c r="W2" s="26" t="s">
        <v>20</v>
      </c>
      <c r="X2" s="26">
        <f>設定!AA3</f>
        <v>0</v>
      </c>
      <c r="Y2" s="26">
        <f>設定!AA4</f>
        <v>0</v>
      </c>
      <c r="Z2" s="26">
        <f>設定!AA5</f>
        <v>0</v>
      </c>
      <c r="AA2" s="46" t="s">
        <v>110</v>
      </c>
      <c r="AC2" s="47" t="s">
        <v>111</v>
      </c>
      <c r="AD2" s="46" t="s">
        <v>8</v>
      </c>
      <c r="AE2" s="46" t="s">
        <v>19</v>
      </c>
      <c r="AF2" s="26" t="s">
        <v>20</v>
      </c>
      <c r="AG2" s="26">
        <f>設定!AJ3</f>
        <v>0</v>
      </c>
      <c r="AH2" s="26">
        <f>設定!AJ4</f>
        <v>0</v>
      </c>
      <c r="AI2" s="26">
        <f>設定!AJ5</f>
        <v>0</v>
      </c>
      <c r="AJ2" s="46" t="s">
        <v>110</v>
      </c>
      <c r="AL2" s="47" t="s">
        <v>111</v>
      </c>
      <c r="AM2" s="46" t="s">
        <v>8</v>
      </c>
      <c r="AN2" s="46" t="s">
        <v>19</v>
      </c>
      <c r="AO2" s="26" t="s">
        <v>20</v>
      </c>
      <c r="AP2" s="26">
        <f>設定!AS3</f>
        <v>0</v>
      </c>
      <c r="AQ2" s="26">
        <f>設定!AS4</f>
        <v>0</v>
      </c>
      <c r="AR2" s="26">
        <f>設定!AS5</f>
        <v>0</v>
      </c>
      <c r="AS2" s="46" t="s">
        <v>110</v>
      </c>
      <c r="AU2" s="47" t="s">
        <v>111</v>
      </c>
      <c r="AV2" s="46" t="s">
        <v>8</v>
      </c>
      <c r="AW2" s="46" t="s">
        <v>19</v>
      </c>
      <c r="AX2" s="26" t="s">
        <v>20</v>
      </c>
      <c r="AY2" s="26">
        <f>設定!BB3</f>
        <v>0</v>
      </c>
      <c r="AZ2" s="26">
        <f>設定!BB4</f>
        <v>0</v>
      </c>
      <c r="BA2" s="26">
        <f>設定!BB5</f>
        <v>0</v>
      </c>
      <c r="BB2" s="46" t="s">
        <v>110</v>
      </c>
      <c r="BD2" s="47" t="s">
        <v>111</v>
      </c>
      <c r="BE2" s="46" t="s">
        <v>8</v>
      </c>
      <c r="BF2" s="46" t="s">
        <v>19</v>
      </c>
      <c r="BG2" s="26" t="s">
        <v>20</v>
      </c>
      <c r="BH2" s="26">
        <f>設定!BK3</f>
        <v>0</v>
      </c>
      <c r="BI2" s="26">
        <f>設定!BK4</f>
        <v>0</v>
      </c>
      <c r="BJ2" s="26">
        <f>設定!BK5</f>
        <v>0</v>
      </c>
      <c r="BK2" s="46" t="s">
        <v>110</v>
      </c>
      <c r="BM2" s="47" t="s">
        <v>111</v>
      </c>
      <c r="BN2" s="46" t="s">
        <v>8</v>
      </c>
      <c r="BO2" s="46" t="s">
        <v>19</v>
      </c>
      <c r="BP2" s="26" t="s">
        <v>20</v>
      </c>
      <c r="BQ2" s="26">
        <f>設定!BT3</f>
        <v>0</v>
      </c>
      <c r="BR2" s="26">
        <f>設定!BT4</f>
        <v>0</v>
      </c>
      <c r="BS2" s="26">
        <f>設定!BT5</f>
        <v>0</v>
      </c>
      <c r="BT2" s="46" t="s">
        <v>110</v>
      </c>
    </row>
    <row r="3" spans="1:72" ht="36.950000000000003" customHeight="1" x14ac:dyDescent="0.7">
      <c r="B3" s="40" t="s">
        <v>120</v>
      </c>
      <c r="C3" s="24" t="s">
        <v>121</v>
      </c>
      <c r="D3" s="54">
        <v>44562</v>
      </c>
      <c r="E3" s="45" t="s">
        <v>61</v>
      </c>
      <c r="F3" s="45" t="s">
        <v>13</v>
      </c>
      <c r="G3" s="45" t="s">
        <v>13</v>
      </c>
      <c r="H3" s="45" t="s">
        <v>13</v>
      </c>
      <c r="I3" t="s">
        <v>31</v>
      </c>
      <c r="K3" s="24"/>
      <c r="L3" s="24"/>
      <c r="M3" s="24"/>
      <c r="N3" s="24"/>
      <c r="O3" s="24"/>
      <c r="P3" s="24"/>
      <c r="Q3" s="24"/>
      <c r="T3" s="24"/>
      <c r="U3" s="24"/>
      <c r="V3" s="24"/>
      <c r="W3" s="24"/>
      <c r="X3" s="24"/>
      <c r="Y3" s="24"/>
      <c r="Z3" s="24"/>
      <c r="AC3" s="24"/>
      <c r="AD3" s="24"/>
      <c r="AE3" s="24"/>
      <c r="AF3" s="24"/>
      <c r="AG3" s="24"/>
      <c r="AH3" s="24"/>
      <c r="AI3" s="24"/>
      <c r="AL3" s="24"/>
      <c r="AM3" s="24"/>
      <c r="AN3" s="24"/>
      <c r="AO3" s="24"/>
      <c r="AP3" s="24"/>
      <c r="AQ3" s="24"/>
      <c r="AR3" s="24"/>
      <c r="AU3" s="24"/>
      <c r="AV3" s="24"/>
      <c r="AW3" s="24"/>
      <c r="AX3" s="24"/>
      <c r="AY3" s="24"/>
      <c r="AZ3" s="24"/>
      <c r="BA3" s="24"/>
      <c r="BD3" s="24"/>
      <c r="BE3" s="24"/>
      <c r="BF3" s="24"/>
      <c r="BG3" s="24"/>
      <c r="BH3" s="24"/>
      <c r="BI3" s="24"/>
      <c r="BJ3" s="24"/>
      <c r="BM3" s="24"/>
      <c r="BN3" s="24"/>
      <c r="BO3" s="24"/>
      <c r="BP3" s="24"/>
      <c r="BQ3" s="24"/>
      <c r="BR3" s="24"/>
      <c r="BS3" s="24"/>
    </row>
    <row r="4" spans="1:72" ht="36.950000000000003" customHeight="1" x14ac:dyDescent="0.7">
      <c r="B4" s="24"/>
      <c r="C4" s="24"/>
      <c r="D4" s="24"/>
      <c r="E4" s="24"/>
      <c r="F4" s="24"/>
      <c r="G4" s="24"/>
      <c r="H4" s="24"/>
      <c r="K4" s="24"/>
      <c r="L4" s="24"/>
      <c r="M4" s="24"/>
      <c r="N4" s="24"/>
      <c r="O4" s="24"/>
      <c r="P4" s="24"/>
      <c r="Q4" s="24"/>
      <c r="T4" s="24"/>
      <c r="U4" s="24"/>
      <c r="V4" s="24"/>
      <c r="W4" s="24"/>
      <c r="X4" s="24"/>
      <c r="Y4" s="24"/>
      <c r="Z4" s="24"/>
      <c r="AC4" s="24"/>
      <c r="AD4" s="24"/>
      <c r="AE4" s="24"/>
      <c r="AF4" s="24"/>
      <c r="AG4" s="24"/>
      <c r="AH4" s="24"/>
      <c r="AI4" s="24"/>
      <c r="AL4" s="24"/>
      <c r="AM4" s="24"/>
      <c r="AN4" s="24"/>
      <c r="AO4" s="24"/>
      <c r="AP4" s="24"/>
      <c r="AQ4" s="24"/>
      <c r="AR4" s="24"/>
      <c r="AU4" s="24"/>
      <c r="AV4" s="24"/>
      <c r="AW4" s="24"/>
      <c r="AX4" s="24"/>
      <c r="AY4" s="24"/>
      <c r="AZ4" s="24"/>
      <c r="BA4" s="24"/>
      <c r="BD4" s="24"/>
      <c r="BE4" s="24"/>
      <c r="BF4" s="24"/>
      <c r="BG4" s="24"/>
      <c r="BH4" s="24"/>
      <c r="BI4" s="24"/>
      <c r="BJ4" s="24"/>
      <c r="BM4" s="24"/>
      <c r="BN4" s="24"/>
      <c r="BO4" s="24"/>
      <c r="BP4" s="24"/>
      <c r="BQ4" s="24"/>
      <c r="BR4" s="24"/>
      <c r="BS4" s="24"/>
    </row>
    <row r="5" spans="1:72" ht="36.950000000000003" customHeight="1" x14ac:dyDescent="0.7">
      <c r="B5" s="24"/>
      <c r="C5" s="24"/>
      <c r="D5" s="24"/>
      <c r="E5" s="24"/>
      <c r="F5" s="24"/>
      <c r="G5" s="24"/>
      <c r="H5" s="24"/>
      <c r="K5" s="24"/>
      <c r="L5" s="24"/>
      <c r="M5" s="24"/>
      <c r="N5" s="24"/>
      <c r="O5" s="24"/>
      <c r="P5" s="24"/>
      <c r="Q5" s="24"/>
      <c r="T5" s="24"/>
      <c r="U5" s="24"/>
      <c r="V5" s="24"/>
      <c r="W5" s="24"/>
      <c r="X5" s="24"/>
      <c r="Y5" s="24"/>
      <c r="Z5" s="24"/>
      <c r="AC5" s="24"/>
      <c r="AD5" s="24"/>
      <c r="AE5" s="24"/>
      <c r="AF5" s="24"/>
      <c r="AG5" s="24"/>
      <c r="AH5" s="24"/>
      <c r="AI5" s="24"/>
      <c r="AL5" s="24"/>
      <c r="AM5" s="24"/>
      <c r="AN5" s="24"/>
      <c r="AO5" s="24"/>
      <c r="AP5" s="24"/>
      <c r="AQ5" s="24"/>
      <c r="AR5" s="24"/>
      <c r="AU5" s="24"/>
      <c r="AV5" s="24"/>
      <c r="AW5" s="24"/>
      <c r="AX5" s="24"/>
      <c r="AY5" s="24"/>
      <c r="AZ5" s="24"/>
      <c r="BA5" s="24"/>
      <c r="BD5" s="24"/>
      <c r="BE5" s="24"/>
      <c r="BF5" s="24"/>
      <c r="BG5" s="24"/>
      <c r="BH5" s="24"/>
      <c r="BI5" s="24"/>
      <c r="BJ5" s="24"/>
      <c r="BM5" s="24"/>
      <c r="BN5" s="24"/>
      <c r="BO5" s="24"/>
      <c r="BP5" s="24"/>
      <c r="BQ5" s="24"/>
      <c r="BR5" s="24"/>
      <c r="BS5" s="24"/>
    </row>
    <row r="6" spans="1:72" ht="36.950000000000003" customHeight="1" x14ac:dyDescent="0.7">
      <c r="C6" s="46"/>
      <c r="L6" s="46"/>
      <c r="U6" s="46"/>
      <c r="AD6" s="46"/>
      <c r="AM6" s="46"/>
      <c r="AV6" s="46"/>
      <c r="BE6" s="46"/>
      <c r="BN6" s="46"/>
    </row>
    <row r="7" spans="1:72" ht="36.950000000000003" customHeight="1" x14ac:dyDescent="0.7"/>
    <row r="8" spans="1:72" ht="36.950000000000003" customHeight="1" x14ac:dyDescent="0.7">
      <c r="J8" t="s">
        <v>117</v>
      </c>
    </row>
    <row r="9" spans="1:72" ht="36.950000000000003" customHeight="1" x14ac:dyDescent="0.7"/>
    <row r="10" spans="1:72" ht="36.950000000000003" customHeight="1" x14ac:dyDescent="0.7"/>
    <row r="11" spans="1:72" ht="36.950000000000003" customHeight="1" x14ac:dyDescent="0.7"/>
    <row r="12" spans="1:72" ht="36.950000000000003" customHeight="1" x14ac:dyDescent="0.7"/>
    <row r="13" spans="1:72" ht="36.950000000000003" customHeight="1" x14ac:dyDescent="0.7"/>
    <row r="14" spans="1:72" ht="36.950000000000003" customHeight="1" x14ac:dyDescent="0.7"/>
    <row r="15" spans="1:72" ht="36.950000000000003" customHeight="1" x14ac:dyDescent="0.7">
      <c r="A15" s="27"/>
    </row>
    <row r="16" spans="1:72" ht="36.950000000000003" customHeight="1" x14ac:dyDescent="0.7">
      <c r="A16" s="27"/>
    </row>
    <row r="17" spans="1:1" ht="36.950000000000003" customHeight="1" x14ac:dyDescent="0.7">
      <c r="A17" s="27"/>
    </row>
    <row r="18" spans="1:1" ht="36.950000000000003" customHeight="1" x14ac:dyDescent="0.7"/>
    <row r="19" spans="1:1" ht="36.950000000000003" customHeight="1" x14ac:dyDescent="0.7"/>
    <row r="20" spans="1:1" ht="36.950000000000003" customHeight="1" x14ac:dyDescent="0.7"/>
    <row r="21" spans="1:1" ht="36.950000000000003" customHeight="1" x14ac:dyDescent="0.7"/>
    <row r="22" spans="1:1" ht="36.950000000000003" customHeight="1" x14ac:dyDescent="0.7"/>
    <row r="23" spans="1:1" ht="36.950000000000003" customHeight="1" x14ac:dyDescent="0.7"/>
    <row r="24" spans="1:1" ht="36.950000000000003" customHeight="1" x14ac:dyDescent="0.7"/>
    <row r="25" spans="1:1" ht="36.950000000000003" customHeight="1" x14ac:dyDescent="0.7"/>
    <row r="26" spans="1:1" ht="36.950000000000003" customHeight="1" x14ac:dyDescent="0.7"/>
    <row r="27" spans="1:1" ht="36.950000000000003" customHeight="1" x14ac:dyDescent="0.7"/>
    <row r="28" spans="1:1" ht="36.950000000000003" customHeight="1" x14ac:dyDescent="0.7"/>
    <row r="29" spans="1:1" ht="36.950000000000003" customHeight="1" x14ac:dyDescent="0.7"/>
    <row r="30" spans="1:1" ht="36.950000000000003" customHeight="1" x14ac:dyDescent="0.7"/>
    <row r="31" spans="1:1" ht="36.950000000000003" customHeight="1" x14ac:dyDescent="0.7"/>
    <row r="32" spans="1:1" ht="36.950000000000003" customHeight="1" x14ac:dyDescent="0.7"/>
    <row r="33" ht="36.950000000000003" customHeight="1" x14ac:dyDescent="0.7"/>
    <row r="34" ht="36.950000000000003" customHeight="1" x14ac:dyDescent="0.7"/>
    <row r="35" ht="36.950000000000003" customHeight="1" x14ac:dyDescent="0.7"/>
    <row r="36" ht="36.950000000000003" customHeight="1" x14ac:dyDescent="0.7"/>
    <row r="37" ht="36.950000000000003" customHeight="1" x14ac:dyDescent="0.7"/>
    <row r="38" ht="36.950000000000003" customHeight="1" x14ac:dyDescent="0.7"/>
    <row r="39" ht="36.950000000000003" customHeight="1" x14ac:dyDescent="0.7"/>
    <row r="40" ht="36.950000000000003" customHeight="1" x14ac:dyDescent="0.7"/>
    <row r="41" ht="36.950000000000003" customHeight="1" x14ac:dyDescent="0.7"/>
    <row r="42" ht="36.950000000000003" customHeight="1" x14ac:dyDescent="0.7"/>
    <row r="43" ht="36.950000000000003" customHeight="1" x14ac:dyDescent="0.7"/>
    <row r="44" ht="36.950000000000003" customHeight="1" x14ac:dyDescent="0.7"/>
    <row r="45" ht="36.950000000000003" customHeight="1" x14ac:dyDescent="0.7"/>
    <row r="46" ht="36.950000000000003" customHeight="1" x14ac:dyDescent="0.7"/>
    <row r="47" ht="36.950000000000003" customHeight="1" x14ac:dyDescent="0.7"/>
    <row r="48" ht="36.950000000000003" customHeight="1" x14ac:dyDescent="0.7"/>
    <row r="49" ht="36.950000000000003" customHeight="1" x14ac:dyDescent="0.7"/>
    <row r="50" ht="36.950000000000003" customHeight="1" x14ac:dyDescent="0.7"/>
    <row r="51" ht="36.950000000000003" customHeight="1" x14ac:dyDescent="0.7"/>
    <row r="52" ht="36.950000000000003" customHeight="1" x14ac:dyDescent="0.7"/>
    <row r="53" ht="36.950000000000003" customHeight="1" x14ac:dyDescent="0.7"/>
    <row r="54" ht="36.950000000000003" customHeight="1" x14ac:dyDescent="0.7"/>
    <row r="55" ht="36.950000000000003" customHeight="1" x14ac:dyDescent="0.7"/>
    <row r="56" ht="36.950000000000003" customHeight="1" x14ac:dyDescent="0.7"/>
    <row r="57" ht="36.950000000000003" customHeight="1" x14ac:dyDescent="0.7"/>
    <row r="58" ht="36.950000000000003" customHeight="1" x14ac:dyDescent="0.7"/>
    <row r="59" ht="36.950000000000003" customHeight="1" x14ac:dyDescent="0.7"/>
    <row r="60" ht="36.950000000000003" customHeight="1" x14ac:dyDescent="0.7"/>
    <row r="61" ht="36.950000000000003" customHeight="1" x14ac:dyDescent="0.7"/>
    <row r="62" ht="36.950000000000003" customHeight="1" x14ac:dyDescent="0.7"/>
    <row r="63" ht="36.950000000000003" customHeight="1" x14ac:dyDescent="0.7"/>
    <row r="64" ht="36.950000000000003" customHeight="1" x14ac:dyDescent="0.7"/>
    <row r="65" ht="36.950000000000003" customHeight="1" x14ac:dyDescent="0.7"/>
    <row r="66" ht="36.950000000000003" customHeight="1" x14ac:dyDescent="0.7"/>
    <row r="67" ht="36.950000000000003" customHeight="1" x14ac:dyDescent="0.7"/>
    <row r="68" ht="36.950000000000003" customHeight="1" x14ac:dyDescent="0.7"/>
    <row r="69" ht="36.950000000000003" customHeight="1" x14ac:dyDescent="0.7"/>
    <row r="70" ht="36.950000000000003" customHeight="1" x14ac:dyDescent="0.7"/>
    <row r="71" ht="36.950000000000003" customHeight="1" x14ac:dyDescent="0.7"/>
    <row r="72" ht="36.950000000000003" customHeight="1" x14ac:dyDescent="0.7"/>
    <row r="73" ht="36.950000000000003" customHeight="1" x14ac:dyDescent="0.7"/>
    <row r="74" ht="36.950000000000003" customHeight="1" x14ac:dyDescent="0.7"/>
    <row r="75" ht="36.950000000000003" customHeight="1" x14ac:dyDescent="0.7"/>
    <row r="76" ht="36.950000000000003" customHeight="1" x14ac:dyDescent="0.7"/>
    <row r="77" ht="36.950000000000003" customHeight="1" x14ac:dyDescent="0.7"/>
    <row r="78" ht="36.950000000000003" customHeight="1" x14ac:dyDescent="0.7"/>
    <row r="79" ht="36.950000000000003" customHeight="1" x14ac:dyDescent="0.7"/>
    <row r="80" ht="36.950000000000003" customHeight="1" x14ac:dyDescent="0.7"/>
    <row r="81" ht="36.950000000000003" customHeight="1" x14ac:dyDescent="0.7"/>
    <row r="82" ht="36.950000000000003" customHeight="1" x14ac:dyDescent="0.7"/>
    <row r="83" ht="36.950000000000003" customHeight="1" x14ac:dyDescent="0.7"/>
    <row r="84" ht="36.950000000000003" customHeight="1" x14ac:dyDescent="0.7"/>
    <row r="85" ht="36.950000000000003" customHeight="1" x14ac:dyDescent="0.7"/>
    <row r="86" ht="36.950000000000003" customHeight="1" x14ac:dyDescent="0.7"/>
    <row r="87" ht="36.950000000000003" customHeight="1" x14ac:dyDescent="0.7"/>
    <row r="88" ht="36.950000000000003" customHeight="1" x14ac:dyDescent="0.7"/>
    <row r="89" ht="36.950000000000003" customHeight="1" x14ac:dyDescent="0.7"/>
    <row r="90" ht="36.950000000000003" customHeight="1" x14ac:dyDescent="0.7"/>
    <row r="91" ht="36.950000000000003" customHeight="1" x14ac:dyDescent="0.7"/>
    <row r="92" ht="36.950000000000003" customHeight="1" x14ac:dyDescent="0.7"/>
    <row r="93" ht="36.950000000000003" customHeight="1" x14ac:dyDescent="0.7"/>
    <row r="94" ht="36.950000000000003" customHeight="1" x14ac:dyDescent="0.7"/>
    <row r="95" ht="36.950000000000003" customHeight="1" x14ac:dyDescent="0.7"/>
    <row r="96" ht="36.950000000000003" customHeight="1" x14ac:dyDescent="0.7"/>
    <row r="97" ht="36.950000000000003" customHeight="1" x14ac:dyDescent="0.7"/>
    <row r="98" ht="36.950000000000003" customHeight="1" x14ac:dyDescent="0.7"/>
    <row r="99" ht="36.950000000000003" customHeight="1" x14ac:dyDescent="0.7"/>
    <row r="100" ht="36.950000000000003" customHeight="1" x14ac:dyDescent="0.7"/>
    <row r="101" ht="36.950000000000003" customHeight="1" x14ac:dyDescent="0.7"/>
    <row r="102" ht="36.950000000000003" customHeight="1" x14ac:dyDescent="0.7"/>
    <row r="103" ht="36.950000000000003" customHeight="1" x14ac:dyDescent="0.7"/>
    <row r="104" ht="36.950000000000003" customHeight="1" x14ac:dyDescent="0.7"/>
    <row r="105" ht="36.950000000000003" customHeight="1" x14ac:dyDescent="0.7"/>
    <row r="106" ht="36.950000000000003" customHeight="1" x14ac:dyDescent="0.7"/>
    <row r="107" ht="36.950000000000003" customHeight="1" x14ac:dyDescent="0.7"/>
    <row r="108" ht="36.950000000000003" customHeight="1" x14ac:dyDescent="0.7"/>
    <row r="109" ht="36.950000000000003" customHeight="1" x14ac:dyDescent="0.7"/>
    <row r="110" ht="36.950000000000003" customHeight="1" x14ac:dyDescent="0.7"/>
    <row r="111" ht="36.950000000000003" customHeight="1" x14ac:dyDescent="0.7"/>
    <row r="112" ht="36.950000000000003" customHeight="1" x14ac:dyDescent="0.7"/>
    <row r="113" ht="36.950000000000003" customHeight="1" x14ac:dyDescent="0.7"/>
    <row r="114" ht="36.950000000000003" customHeight="1" x14ac:dyDescent="0.7"/>
    <row r="115" ht="36.950000000000003" customHeight="1" x14ac:dyDescent="0.7"/>
    <row r="116" ht="36.950000000000003" customHeight="1" x14ac:dyDescent="0.7"/>
    <row r="117" ht="36.950000000000003" customHeight="1" x14ac:dyDescent="0.7"/>
    <row r="118" ht="36.950000000000003" customHeight="1" x14ac:dyDescent="0.7"/>
    <row r="119" ht="36.950000000000003" customHeight="1" x14ac:dyDescent="0.7"/>
    <row r="120" ht="36.950000000000003" customHeight="1" x14ac:dyDescent="0.7"/>
    <row r="121" ht="36.950000000000003" customHeight="1" x14ac:dyDescent="0.7"/>
    <row r="122" ht="36.950000000000003" customHeight="1" x14ac:dyDescent="0.7"/>
    <row r="123" ht="36.950000000000003" customHeight="1" x14ac:dyDescent="0.7"/>
    <row r="124" ht="36.950000000000003" customHeight="1" x14ac:dyDescent="0.7"/>
    <row r="125" ht="36.950000000000003" customHeight="1" x14ac:dyDescent="0.7"/>
    <row r="126" ht="36.950000000000003" customHeight="1" x14ac:dyDescent="0.7"/>
    <row r="127" ht="36.950000000000003" customHeight="1" x14ac:dyDescent="0.7"/>
    <row r="128" ht="36.950000000000003" customHeight="1" x14ac:dyDescent="0.7"/>
    <row r="129" ht="36.950000000000003" customHeight="1" x14ac:dyDescent="0.7"/>
    <row r="130" ht="36.950000000000003" customHeight="1" x14ac:dyDescent="0.7"/>
    <row r="131" ht="36.950000000000003" customHeight="1" x14ac:dyDescent="0.7"/>
    <row r="132" ht="36.950000000000003" customHeight="1" x14ac:dyDescent="0.7"/>
    <row r="133" ht="36.950000000000003" customHeight="1" x14ac:dyDescent="0.7"/>
    <row r="134" ht="36.950000000000003" customHeight="1" x14ac:dyDescent="0.7"/>
    <row r="135" ht="36.950000000000003" customHeight="1" x14ac:dyDescent="0.7"/>
    <row r="136" ht="36.950000000000003" customHeight="1" x14ac:dyDescent="0.7"/>
    <row r="137" ht="36.950000000000003" customHeight="1" x14ac:dyDescent="0.7"/>
    <row r="138" ht="36.950000000000003" customHeight="1" x14ac:dyDescent="0.7"/>
    <row r="139" ht="36.950000000000003" customHeight="1" x14ac:dyDescent="0.7"/>
    <row r="140" ht="36.950000000000003" customHeight="1" x14ac:dyDescent="0.7"/>
    <row r="141" ht="36.950000000000003" customHeight="1" x14ac:dyDescent="0.7"/>
    <row r="142" ht="36.950000000000003" customHeight="1" x14ac:dyDescent="0.7"/>
    <row r="143" ht="36.950000000000003" customHeight="1" x14ac:dyDescent="0.7"/>
    <row r="144" ht="36.950000000000003" customHeight="1" x14ac:dyDescent="0.7"/>
    <row r="145" ht="36.950000000000003" customHeight="1" x14ac:dyDescent="0.7"/>
    <row r="146" ht="36.950000000000003" customHeight="1" x14ac:dyDescent="0.7"/>
    <row r="147" ht="36.950000000000003" customHeight="1" x14ac:dyDescent="0.7"/>
    <row r="148" ht="36.950000000000003" customHeight="1" x14ac:dyDescent="0.7"/>
    <row r="149" ht="36.950000000000003" customHeight="1" x14ac:dyDescent="0.7"/>
    <row r="150" ht="36.950000000000003" customHeight="1" x14ac:dyDescent="0.7"/>
    <row r="151" ht="36.950000000000003" customHeight="1" x14ac:dyDescent="0.7"/>
    <row r="152" ht="36.950000000000003" customHeight="1" x14ac:dyDescent="0.7"/>
    <row r="153" ht="36.950000000000003" customHeight="1" x14ac:dyDescent="0.7"/>
    <row r="154" ht="36.950000000000003" customHeight="1" x14ac:dyDescent="0.7"/>
    <row r="155" ht="36.950000000000003" customHeight="1" x14ac:dyDescent="0.7"/>
    <row r="156" ht="36.950000000000003" customHeight="1" x14ac:dyDescent="0.7"/>
    <row r="157" ht="36.950000000000003" customHeight="1" x14ac:dyDescent="0.7"/>
    <row r="158" ht="36.950000000000003" customHeight="1" x14ac:dyDescent="0.7"/>
    <row r="159" ht="36.950000000000003" customHeight="1" x14ac:dyDescent="0.7"/>
    <row r="160" ht="36.950000000000003" customHeight="1" x14ac:dyDescent="0.7"/>
    <row r="161" ht="36.950000000000003" customHeight="1" x14ac:dyDescent="0.7"/>
    <row r="162" ht="36.950000000000003" customHeight="1" x14ac:dyDescent="0.7"/>
    <row r="163" ht="36.950000000000003" customHeight="1" x14ac:dyDescent="0.7"/>
    <row r="164" ht="36.950000000000003" customHeight="1" x14ac:dyDescent="0.7"/>
    <row r="165" ht="36.950000000000003" customHeight="1" x14ac:dyDescent="0.7"/>
    <row r="166" ht="36.950000000000003" customHeight="1" x14ac:dyDescent="0.7"/>
    <row r="167" ht="36.950000000000003" customHeight="1" x14ac:dyDescent="0.7"/>
    <row r="168" ht="36.950000000000003" customHeight="1" x14ac:dyDescent="0.7"/>
    <row r="169" ht="36.950000000000003" customHeight="1" x14ac:dyDescent="0.7"/>
    <row r="170" ht="36.950000000000003" customHeight="1" x14ac:dyDescent="0.7"/>
    <row r="171" ht="36.950000000000003" customHeight="1" x14ac:dyDescent="0.7"/>
    <row r="172" ht="36.950000000000003" customHeight="1" x14ac:dyDescent="0.7"/>
    <row r="173" ht="36.950000000000003" customHeight="1" x14ac:dyDescent="0.7"/>
    <row r="174" ht="36.950000000000003" customHeight="1" x14ac:dyDescent="0.7"/>
    <row r="175" ht="36.950000000000003" customHeight="1" x14ac:dyDescent="0.7"/>
    <row r="176" ht="36.950000000000003" customHeight="1" x14ac:dyDescent="0.7"/>
    <row r="177" ht="36.950000000000003" customHeight="1" x14ac:dyDescent="0.7"/>
    <row r="178" ht="36.950000000000003" customHeight="1" x14ac:dyDescent="0.7"/>
    <row r="179" ht="36.950000000000003" customHeight="1" x14ac:dyDescent="0.7"/>
    <row r="180" ht="36.950000000000003" customHeight="1" x14ac:dyDescent="0.7"/>
    <row r="181" ht="36.950000000000003" customHeight="1" x14ac:dyDescent="0.7"/>
    <row r="182" ht="36.950000000000003" customHeight="1" x14ac:dyDescent="0.7"/>
    <row r="183" ht="36.950000000000003" customHeight="1" x14ac:dyDescent="0.7"/>
    <row r="184" ht="36.950000000000003" customHeight="1" x14ac:dyDescent="0.7"/>
    <row r="185" ht="36.950000000000003" customHeight="1" x14ac:dyDescent="0.7"/>
    <row r="186" ht="36.950000000000003" customHeight="1" x14ac:dyDescent="0.7"/>
    <row r="187" ht="36.950000000000003" customHeight="1" x14ac:dyDescent="0.7"/>
    <row r="188" ht="36.950000000000003" customHeight="1" x14ac:dyDescent="0.7"/>
    <row r="189" ht="36.950000000000003" customHeight="1" x14ac:dyDescent="0.7"/>
    <row r="190" ht="36.950000000000003" customHeight="1" x14ac:dyDescent="0.7"/>
    <row r="191" ht="36.950000000000003" customHeight="1" x14ac:dyDescent="0.7"/>
    <row r="192" ht="36.950000000000003" customHeight="1" x14ac:dyDescent="0.7"/>
    <row r="193" ht="36.950000000000003" customHeight="1" x14ac:dyDescent="0.7"/>
    <row r="194" ht="36.950000000000003" customHeight="1" x14ac:dyDescent="0.7"/>
    <row r="195" ht="36.950000000000003" customHeight="1" x14ac:dyDescent="0.7"/>
    <row r="196" ht="36.950000000000003" customHeight="1" x14ac:dyDescent="0.7"/>
    <row r="197" ht="36.950000000000003" customHeight="1" x14ac:dyDescent="0.7"/>
    <row r="198" ht="36.950000000000003" customHeight="1" x14ac:dyDescent="0.7"/>
    <row r="199" ht="36.950000000000003" customHeight="1" x14ac:dyDescent="0.7"/>
    <row r="200" ht="36.950000000000003" customHeight="1" x14ac:dyDescent="0.7"/>
    <row r="201" ht="36.950000000000003" customHeight="1" x14ac:dyDescent="0.7"/>
    <row r="202" ht="36.950000000000003" customHeight="1" x14ac:dyDescent="0.7"/>
    <row r="203" ht="36.950000000000003" customHeight="1" x14ac:dyDescent="0.7"/>
    <row r="204" ht="36.950000000000003" customHeight="1" x14ac:dyDescent="0.7"/>
    <row r="205" ht="36.950000000000003" customHeight="1" x14ac:dyDescent="0.7"/>
    <row r="206" ht="36.950000000000003" customHeight="1" x14ac:dyDescent="0.7"/>
    <row r="207" ht="36.950000000000003" customHeight="1" x14ac:dyDescent="0.7"/>
    <row r="208" ht="36.950000000000003" customHeight="1" x14ac:dyDescent="0.7"/>
    <row r="209" ht="36.950000000000003" customHeight="1" x14ac:dyDescent="0.7"/>
    <row r="210" ht="36.950000000000003" customHeight="1" x14ac:dyDescent="0.7"/>
    <row r="211" ht="36.950000000000003" customHeight="1" x14ac:dyDescent="0.7"/>
    <row r="212" ht="36.950000000000003" customHeight="1" x14ac:dyDescent="0.7"/>
    <row r="213" ht="36.950000000000003" customHeight="1" x14ac:dyDescent="0.7"/>
    <row r="214" ht="36.950000000000003" customHeight="1" x14ac:dyDescent="0.7"/>
    <row r="215" ht="36.950000000000003" customHeight="1" x14ac:dyDescent="0.7"/>
    <row r="216" ht="36.950000000000003" customHeight="1" x14ac:dyDescent="0.7"/>
    <row r="217" ht="36.950000000000003" customHeight="1" x14ac:dyDescent="0.7"/>
    <row r="218" ht="36.950000000000003" customHeight="1" x14ac:dyDescent="0.7"/>
    <row r="219" ht="36.950000000000003" customHeight="1" x14ac:dyDescent="0.7"/>
    <row r="220" ht="36.950000000000003" customHeight="1" x14ac:dyDescent="0.7"/>
    <row r="221" ht="36.950000000000003" customHeight="1" x14ac:dyDescent="0.7"/>
    <row r="222" ht="36.950000000000003" customHeight="1" x14ac:dyDescent="0.7"/>
    <row r="223" ht="36.950000000000003" customHeight="1" x14ac:dyDescent="0.7"/>
    <row r="224" ht="36.950000000000003" customHeight="1" x14ac:dyDescent="0.7"/>
    <row r="225" ht="36.950000000000003" customHeight="1" x14ac:dyDescent="0.7"/>
    <row r="226" ht="36.950000000000003" customHeight="1" x14ac:dyDescent="0.7"/>
    <row r="227" ht="36.950000000000003" customHeight="1" x14ac:dyDescent="0.7"/>
    <row r="228" ht="36.950000000000003" customHeight="1" x14ac:dyDescent="0.7"/>
    <row r="229" ht="36.950000000000003" customHeight="1" x14ac:dyDescent="0.7"/>
    <row r="230" ht="36.950000000000003" customHeight="1" x14ac:dyDescent="0.7"/>
    <row r="231" ht="36.950000000000003" customHeight="1" x14ac:dyDescent="0.7"/>
    <row r="232" ht="36.950000000000003" customHeight="1" x14ac:dyDescent="0.7"/>
    <row r="233" ht="36.950000000000003" customHeight="1" x14ac:dyDescent="0.7"/>
    <row r="234" ht="36.950000000000003" customHeight="1" x14ac:dyDescent="0.7"/>
    <row r="235" ht="36.950000000000003" customHeight="1" x14ac:dyDescent="0.7"/>
    <row r="236" ht="36.950000000000003" customHeight="1" x14ac:dyDescent="0.7"/>
    <row r="237" ht="36.950000000000003" customHeight="1" x14ac:dyDescent="0.7"/>
    <row r="238" ht="36.950000000000003" customHeight="1" x14ac:dyDescent="0.7"/>
    <row r="239" ht="36.950000000000003" customHeight="1" x14ac:dyDescent="0.7"/>
    <row r="240" ht="36.950000000000003" customHeight="1" x14ac:dyDescent="0.7"/>
    <row r="241" ht="36.950000000000003" customHeight="1" x14ac:dyDescent="0.7"/>
    <row r="242" ht="36.950000000000003" customHeight="1" x14ac:dyDescent="0.7"/>
    <row r="243" ht="36.950000000000003" customHeight="1" x14ac:dyDescent="0.7"/>
    <row r="244" ht="36.950000000000003" customHeight="1" x14ac:dyDescent="0.7"/>
    <row r="245" ht="36.950000000000003" customHeight="1" x14ac:dyDescent="0.7"/>
    <row r="246" ht="36.950000000000003" customHeight="1" x14ac:dyDescent="0.7"/>
    <row r="247" ht="36.950000000000003" customHeight="1" x14ac:dyDescent="0.7"/>
    <row r="248" ht="36.950000000000003" customHeight="1" x14ac:dyDescent="0.7"/>
    <row r="249" ht="36.950000000000003" customHeight="1" x14ac:dyDescent="0.7"/>
    <row r="250" ht="36.950000000000003" customHeight="1" x14ac:dyDescent="0.7"/>
    <row r="251" ht="36.950000000000003" customHeight="1" x14ac:dyDescent="0.7"/>
    <row r="252" ht="36.950000000000003" customHeight="1" x14ac:dyDescent="0.7"/>
    <row r="253" ht="36.950000000000003" customHeight="1" x14ac:dyDescent="0.7"/>
    <row r="254" ht="36.950000000000003" customHeight="1" x14ac:dyDescent="0.7"/>
    <row r="255" ht="36.950000000000003" customHeight="1" x14ac:dyDescent="0.7"/>
    <row r="256" ht="36.950000000000003" customHeight="1" x14ac:dyDescent="0.7"/>
    <row r="257" ht="36.950000000000003" customHeight="1" x14ac:dyDescent="0.7"/>
    <row r="258" ht="36.950000000000003" customHeight="1" x14ac:dyDescent="0.7"/>
    <row r="259" ht="36.950000000000003" customHeight="1" x14ac:dyDescent="0.7"/>
    <row r="260" ht="36.950000000000003" customHeight="1" x14ac:dyDescent="0.7"/>
    <row r="261" ht="36.950000000000003" customHeight="1" x14ac:dyDescent="0.7"/>
    <row r="262" ht="36.950000000000003" customHeight="1" x14ac:dyDescent="0.7"/>
    <row r="263" ht="36.950000000000003" customHeight="1" x14ac:dyDescent="0.7"/>
    <row r="264" ht="36.950000000000003" customHeight="1" x14ac:dyDescent="0.7"/>
    <row r="265" ht="36.950000000000003" customHeight="1" x14ac:dyDescent="0.7"/>
    <row r="266" ht="36.950000000000003" customHeight="1" x14ac:dyDescent="0.7"/>
    <row r="267" ht="36.950000000000003" customHeight="1" x14ac:dyDescent="0.7"/>
    <row r="268" ht="36.950000000000003" customHeight="1" x14ac:dyDescent="0.7"/>
    <row r="269" ht="36.950000000000003" customHeight="1" x14ac:dyDescent="0.7"/>
    <row r="270" ht="36.950000000000003" customHeight="1" x14ac:dyDescent="0.7"/>
    <row r="271" ht="36.950000000000003" customHeight="1" x14ac:dyDescent="0.7"/>
    <row r="272" ht="36.950000000000003" customHeight="1" x14ac:dyDescent="0.7"/>
    <row r="273" ht="36.950000000000003" customHeight="1" x14ac:dyDescent="0.7"/>
    <row r="274" ht="36.950000000000003" customHeight="1" x14ac:dyDescent="0.7"/>
    <row r="275" ht="36.950000000000003" customHeight="1" x14ac:dyDescent="0.7"/>
    <row r="276" ht="36.950000000000003" customHeight="1" x14ac:dyDescent="0.7"/>
    <row r="277" ht="36.950000000000003" customHeight="1" x14ac:dyDescent="0.7"/>
    <row r="278" ht="36.950000000000003" customHeight="1" x14ac:dyDescent="0.7"/>
    <row r="279" ht="36.950000000000003" customHeight="1" x14ac:dyDescent="0.7"/>
    <row r="280" ht="36.950000000000003" customHeight="1" x14ac:dyDescent="0.7"/>
    <row r="281" ht="36.950000000000003" customHeight="1" x14ac:dyDescent="0.7"/>
    <row r="282" ht="36.950000000000003" customHeight="1" x14ac:dyDescent="0.7"/>
    <row r="283" ht="36.950000000000003" customHeight="1" x14ac:dyDescent="0.7"/>
    <row r="284" ht="36.950000000000003" customHeight="1" x14ac:dyDescent="0.7"/>
    <row r="285" ht="36.950000000000003" customHeight="1" x14ac:dyDescent="0.7"/>
    <row r="286" ht="36.950000000000003" customHeight="1" x14ac:dyDescent="0.7"/>
    <row r="287" ht="36.950000000000003" customHeight="1" x14ac:dyDescent="0.7"/>
    <row r="288" ht="36.950000000000003" customHeight="1" x14ac:dyDescent="0.7"/>
    <row r="289" ht="36.950000000000003" customHeight="1" x14ac:dyDescent="0.7"/>
    <row r="290" ht="36.950000000000003" customHeight="1" x14ac:dyDescent="0.7"/>
    <row r="291" ht="36.950000000000003" customHeight="1" x14ac:dyDescent="0.7"/>
    <row r="292" ht="36.950000000000003" customHeight="1" x14ac:dyDescent="0.7"/>
    <row r="293" ht="36.950000000000003" customHeight="1" x14ac:dyDescent="0.7"/>
    <row r="294" ht="36.950000000000003" customHeight="1" x14ac:dyDescent="0.7"/>
    <row r="295" ht="36.950000000000003" customHeight="1" x14ac:dyDescent="0.7"/>
    <row r="296" ht="36.950000000000003" customHeight="1" x14ac:dyDescent="0.7"/>
    <row r="297" ht="36.950000000000003" customHeight="1" x14ac:dyDescent="0.7"/>
    <row r="298" ht="36.950000000000003" customHeight="1" x14ac:dyDescent="0.7"/>
    <row r="299" ht="36.950000000000003" customHeight="1" x14ac:dyDescent="0.7"/>
    <row r="300" ht="36.950000000000003" customHeight="1" x14ac:dyDescent="0.7"/>
    <row r="301" ht="36.950000000000003" customHeight="1" x14ac:dyDescent="0.7"/>
    <row r="302" ht="36.950000000000003" customHeight="1" x14ac:dyDescent="0.7"/>
    <row r="303" ht="36.950000000000003" customHeight="1" x14ac:dyDescent="0.7"/>
    <row r="304" ht="36.950000000000003" customHeight="1" x14ac:dyDescent="0.7"/>
    <row r="305" ht="36.950000000000003" customHeight="1" x14ac:dyDescent="0.7"/>
    <row r="306" ht="36.950000000000003" customHeight="1" x14ac:dyDescent="0.7"/>
    <row r="307" ht="36.950000000000003" customHeight="1" x14ac:dyDescent="0.7"/>
    <row r="308" ht="36.950000000000003" customHeight="1" x14ac:dyDescent="0.7"/>
    <row r="309" ht="36.950000000000003" customHeight="1" x14ac:dyDescent="0.7"/>
    <row r="310" ht="36.950000000000003" customHeight="1" x14ac:dyDescent="0.7"/>
    <row r="311" ht="36.950000000000003" customHeight="1" x14ac:dyDescent="0.7"/>
    <row r="312" ht="36.950000000000003" customHeight="1" x14ac:dyDescent="0.7"/>
    <row r="313" ht="36.950000000000003" customHeight="1" x14ac:dyDescent="0.7"/>
    <row r="314" ht="36.950000000000003" customHeight="1" x14ac:dyDescent="0.7"/>
    <row r="315" ht="36.950000000000003" customHeight="1" x14ac:dyDescent="0.7"/>
    <row r="316" ht="36.950000000000003" customHeight="1" x14ac:dyDescent="0.7"/>
    <row r="317" ht="36.950000000000003" customHeight="1" x14ac:dyDescent="0.7"/>
    <row r="318" ht="36.950000000000003" customHeight="1" x14ac:dyDescent="0.7"/>
    <row r="319" ht="36.950000000000003" customHeight="1" x14ac:dyDescent="0.7"/>
    <row r="320" ht="36.950000000000003" customHeight="1" x14ac:dyDescent="0.7"/>
    <row r="321" ht="36.950000000000003" customHeight="1" x14ac:dyDescent="0.7"/>
    <row r="322" ht="36.950000000000003" customHeight="1" x14ac:dyDescent="0.7"/>
    <row r="323" ht="36.950000000000003" customHeight="1" x14ac:dyDescent="0.7"/>
    <row r="324" ht="36.950000000000003" customHeight="1" x14ac:dyDescent="0.7"/>
    <row r="325" ht="36.950000000000003" customHeight="1" x14ac:dyDescent="0.7"/>
    <row r="326" ht="36.950000000000003" customHeight="1" x14ac:dyDescent="0.7"/>
    <row r="327" ht="36.950000000000003" customHeight="1" x14ac:dyDescent="0.7"/>
    <row r="328" ht="36.950000000000003" customHeight="1" x14ac:dyDescent="0.7"/>
    <row r="329" ht="36.950000000000003" customHeight="1" x14ac:dyDescent="0.7"/>
    <row r="330" ht="36.950000000000003" customHeight="1" x14ac:dyDescent="0.7"/>
    <row r="331" ht="36.950000000000003" customHeight="1" x14ac:dyDescent="0.7"/>
    <row r="332" ht="36.950000000000003" customHeight="1" x14ac:dyDescent="0.7"/>
    <row r="333" ht="36.950000000000003" customHeight="1" x14ac:dyDescent="0.7"/>
    <row r="334" ht="36.950000000000003" customHeight="1" x14ac:dyDescent="0.7"/>
    <row r="335" ht="36.950000000000003" customHeight="1" x14ac:dyDescent="0.7"/>
    <row r="336" ht="36.950000000000003" customHeight="1" x14ac:dyDescent="0.7"/>
    <row r="337" ht="36.950000000000003" customHeight="1" x14ac:dyDescent="0.7"/>
    <row r="338" ht="36.950000000000003" customHeight="1" x14ac:dyDescent="0.7"/>
    <row r="339" ht="36.950000000000003" customHeight="1" x14ac:dyDescent="0.7"/>
    <row r="340" ht="36.950000000000003" customHeight="1" x14ac:dyDescent="0.7"/>
    <row r="341" ht="36.950000000000003" customHeight="1" x14ac:dyDescent="0.7"/>
    <row r="342" ht="36.950000000000003" customHeight="1" x14ac:dyDescent="0.7"/>
    <row r="343" ht="36.950000000000003" customHeight="1" x14ac:dyDescent="0.7"/>
    <row r="344" ht="36.950000000000003" customHeight="1" x14ac:dyDescent="0.7"/>
    <row r="345" ht="36.950000000000003" customHeight="1" x14ac:dyDescent="0.7"/>
    <row r="346" ht="36.950000000000003" customHeight="1" x14ac:dyDescent="0.7"/>
    <row r="347" ht="36.950000000000003" customHeight="1" x14ac:dyDescent="0.7"/>
    <row r="348" ht="36.950000000000003" customHeight="1" x14ac:dyDescent="0.7"/>
    <row r="349" ht="36.950000000000003" customHeight="1" x14ac:dyDescent="0.7"/>
    <row r="350" ht="36.950000000000003" customHeight="1" x14ac:dyDescent="0.7"/>
    <row r="351" ht="36.950000000000003" customHeight="1" x14ac:dyDescent="0.7"/>
    <row r="352" ht="36.950000000000003" customHeight="1" x14ac:dyDescent="0.7"/>
  </sheetData>
  <mergeCells count="8">
    <mergeCell ref="BM1:BT1"/>
    <mergeCell ref="B1:I1"/>
    <mergeCell ref="K1:R1"/>
    <mergeCell ref="T1:AA1"/>
    <mergeCell ref="AC1:AJ1"/>
    <mergeCell ref="AL1:AS1"/>
    <mergeCell ref="AU1:BB1"/>
    <mergeCell ref="BD1:BK1"/>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87BB8-7D4F-477E-AC81-DA504B6E8150}">
  <sheetPr codeName="Sheet3"/>
  <dimension ref="A2:N32"/>
  <sheetViews>
    <sheetView zoomScaleNormal="100" workbookViewId="0">
      <selection activeCell="M5" sqref="M5"/>
    </sheetView>
  </sheetViews>
  <sheetFormatPr defaultRowHeight="17.649999999999999" x14ac:dyDescent="0.7"/>
  <cols>
    <col min="1" max="1" width="5.5" customWidth="1"/>
    <col min="2" max="2" width="9" customWidth="1"/>
    <col min="4" max="4" width="4.375" customWidth="1"/>
    <col min="8" max="8" width="15.5" customWidth="1"/>
  </cols>
  <sheetData>
    <row r="2" spans="1:14" ht="30" customHeight="1" x14ac:dyDescent="0.7">
      <c r="B2" s="71" t="s">
        <v>0</v>
      </c>
      <c r="C2" s="72"/>
      <c r="D2" s="73" t="s">
        <v>22</v>
      </c>
      <c r="E2" s="73"/>
      <c r="F2" s="73"/>
      <c r="G2" s="73"/>
      <c r="H2" s="73"/>
      <c r="I2" s="73"/>
    </row>
    <row r="3" spans="1:14" ht="30" customHeight="1" x14ac:dyDescent="0.7">
      <c r="B3" s="71" t="s">
        <v>4</v>
      </c>
      <c r="C3" s="72"/>
      <c r="D3" s="73" t="str">
        <f>設定!H8</f>
        <v>設定されていません。設定画面で設定してください。</v>
      </c>
      <c r="E3" s="73"/>
      <c r="F3" s="73"/>
      <c r="G3" s="73"/>
      <c r="H3" s="73"/>
      <c r="I3" s="73"/>
    </row>
    <row r="4" spans="1:14" ht="40.15" customHeight="1" x14ac:dyDescent="0.7">
      <c r="B4" s="8" t="s">
        <v>8</v>
      </c>
      <c r="C4" s="8" t="s">
        <v>23</v>
      </c>
      <c r="D4" s="44">
        <v>1</v>
      </c>
      <c r="E4" s="3" t="s">
        <v>24</v>
      </c>
      <c r="F4" s="3"/>
      <c r="G4" s="28" t="s">
        <v>19</v>
      </c>
      <c r="H4" s="43">
        <v>44562</v>
      </c>
    </row>
    <row r="5" spans="1:14" x14ac:dyDescent="0.7">
      <c r="A5" s="2">
        <v>1</v>
      </c>
      <c r="B5" s="68" t="s">
        <v>25</v>
      </c>
      <c r="C5" s="68"/>
      <c r="D5" s="68"/>
      <c r="E5" s="68"/>
      <c r="F5" s="68"/>
    </row>
    <row r="6" spans="1:14" x14ac:dyDescent="0.7">
      <c r="A6" s="2"/>
      <c r="B6" s="74" t="str">
        <f>設定!B9</f>
        <v>設定されていません。設定画面で設定してください。</v>
      </c>
      <c r="C6" s="74"/>
      <c r="D6" s="74"/>
      <c r="E6" s="74"/>
      <c r="F6" s="19" t="s">
        <v>3</v>
      </c>
      <c r="H6" s="10" t="s">
        <v>26</v>
      </c>
      <c r="K6" s="41"/>
      <c r="L6" s="65" t="s">
        <v>119</v>
      </c>
      <c r="M6" s="65"/>
      <c r="N6" s="42" t="s">
        <v>109</v>
      </c>
    </row>
    <row r="7" spans="1:14" x14ac:dyDescent="0.7">
      <c r="A7" s="2"/>
      <c r="B7" s="74" t="str">
        <f>設定!B10</f>
        <v>設定されていません。設定画面で設定してください。</v>
      </c>
      <c r="C7" s="74"/>
      <c r="D7" s="74"/>
      <c r="E7" s="74"/>
      <c r="F7" s="19" t="s">
        <v>3</v>
      </c>
      <c r="H7" s="75" t="s">
        <v>123</v>
      </c>
      <c r="K7" s="41"/>
      <c r="L7" s="41"/>
      <c r="M7" s="41"/>
      <c r="N7" s="41"/>
    </row>
    <row r="8" spans="1:14" x14ac:dyDescent="0.7">
      <c r="A8" s="2"/>
      <c r="B8" s="74" t="str">
        <f>設定!B11</f>
        <v>設定されていません。設定画面で設定してください。</v>
      </c>
      <c r="C8" s="74"/>
      <c r="D8" s="74"/>
      <c r="E8" s="74"/>
      <c r="F8" s="19" t="s">
        <v>3</v>
      </c>
      <c r="H8" s="75"/>
      <c r="K8" s="41"/>
      <c r="L8" s="41"/>
      <c r="M8" s="41"/>
      <c r="N8" s="41"/>
    </row>
    <row r="9" spans="1:14" x14ac:dyDescent="0.7">
      <c r="A9" s="2">
        <v>2</v>
      </c>
      <c r="B9" s="68" t="s">
        <v>27</v>
      </c>
      <c r="C9" s="68"/>
      <c r="D9" s="68"/>
      <c r="E9" s="68"/>
      <c r="F9" s="68"/>
      <c r="K9" s="65" t="s">
        <v>122</v>
      </c>
      <c r="L9" s="65"/>
      <c r="M9" s="65"/>
      <c r="N9" s="65"/>
    </row>
    <row r="10" spans="1:14" x14ac:dyDescent="0.7">
      <c r="B10" s="67" t="s">
        <v>28</v>
      </c>
      <c r="C10" s="67"/>
      <c r="D10" s="67"/>
      <c r="E10" s="67"/>
      <c r="F10" s="67"/>
      <c r="G10" s="67"/>
      <c r="H10" s="67"/>
      <c r="K10" s="41"/>
      <c r="L10" s="41"/>
      <c r="M10" s="41"/>
      <c r="N10" s="41"/>
    </row>
    <row r="11" spans="1:14" x14ac:dyDescent="0.7">
      <c r="B11" s="67"/>
      <c r="C11" s="67"/>
      <c r="D11" s="67"/>
      <c r="E11" s="67"/>
      <c r="F11" s="67"/>
      <c r="G11" s="67"/>
      <c r="H11" s="67"/>
    </row>
    <row r="12" spans="1:14" x14ac:dyDescent="0.7">
      <c r="A12" s="2">
        <v>3</v>
      </c>
      <c r="B12" s="68" t="s">
        <v>29</v>
      </c>
      <c r="C12" s="68"/>
      <c r="D12" s="68"/>
      <c r="E12" s="68"/>
      <c r="F12" s="68"/>
    </row>
    <row r="13" spans="1:14" x14ac:dyDescent="0.7">
      <c r="B13" s="69" t="s">
        <v>30</v>
      </c>
      <c r="C13" s="69"/>
      <c r="D13" s="70" t="s">
        <v>31</v>
      </c>
      <c r="E13" s="70"/>
      <c r="F13" s="70"/>
      <c r="G13" s="70"/>
      <c r="H13" s="70"/>
    </row>
    <row r="14" spans="1:14" x14ac:dyDescent="0.7">
      <c r="B14" s="69" t="s">
        <v>32</v>
      </c>
      <c r="C14" s="69"/>
      <c r="D14" s="70" t="s">
        <v>31</v>
      </c>
      <c r="E14" s="70"/>
      <c r="F14" s="70"/>
      <c r="G14" s="70"/>
      <c r="H14" s="70"/>
    </row>
    <row r="15" spans="1:14" x14ac:dyDescent="0.7">
      <c r="B15" s="48"/>
      <c r="C15" s="48"/>
      <c r="D15" s="49"/>
      <c r="E15" s="49"/>
      <c r="F15" s="49"/>
      <c r="G15" s="49"/>
      <c r="H15" s="49"/>
    </row>
    <row r="17" spans="2:10" x14ac:dyDescent="0.7">
      <c r="I17" t="s">
        <v>124</v>
      </c>
    </row>
    <row r="18" spans="2:10" x14ac:dyDescent="0.7">
      <c r="I18" s="50" t="s">
        <v>125</v>
      </c>
      <c r="J18" s="50"/>
    </row>
    <row r="19" spans="2:10" x14ac:dyDescent="0.7">
      <c r="I19" s="50" t="s">
        <v>126</v>
      </c>
      <c r="J19" s="50"/>
    </row>
    <row r="20" spans="2:10" x14ac:dyDescent="0.7">
      <c r="I20" s="50" t="s">
        <v>127</v>
      </c>
      <c r="J20" s="50"/>
    </row>
    <row r="21" spans="2:10" x14ac:dyDescent="0.7">
      <c r="I21" s="51" t="s">
        <v>128</v>
      </c>
      <c r="J21" s="51"/>
    </row>
    <row r="22" spans="2:10" x14ac:dyDescent="0.7">
      <c r="I22" s="52" t="s">
        <v>130</v>
      </c>
      <c r="J22" s="53"/>
    </row>
    <row r="23" spans="2:10" ht="18" thickBot="1" x14ac:dyDescent="0.75">
      <c r="B23" s="66" t="s">
        <v>34</v>
      </c>
      <c r="C23" s="66"/>
      <c r="D23" s="66"/>
      <c r="E23" s="66"/>
      <c r="F23" s="66"/>
      <c r="G23" s="66"/>
    </row>
    <row r="24" spans="2:10" ht="35.1" customHeight="1" thickTop="1" x14ac:dyDescent="0.7">
      <c r="B24" s="77" t="s">
        <v>35</v>
      </c>
      <c r="C24" s="77"/>
      <c r="D24" s="77"/>
      <c r="E24" s="77" t="s">
        <v>129</v>
      </c>
      <c r="F24" s="77"/>
      <c r="G24" s="77"/>
    </row>
    <row r="25" spans="2:10" ht="35.1" customHeight="1" x14ac:dyDescent="0.7">
      <c r="B25" s="76" t="s">
        <v>36</v>
      </c>
      <c r="C25" s="76"/>
      <c r="D25" s="76"/>
      <c r="E25" s="78" t="s">
        <v>129</v>
      </c>
      <c r="F25" s="79"/>
      <c r="G25" s="80"/>
    </row>
    <row r="26" spans="2:10" ht="35.1" customHeight="1" x14ac:dyDescent="0.7">
      <c r="B26" s="76" t="s">
        <v>37</v>
      </c>
      <c r="C26" s="76"/>
      <c r="D26" s="76"/>
      <c r="E26" s="78" t="s">
        <v>129</v>
      </c>
      <c r="F26" s="79"/>
      <c r="G26" s="80"/>
    </row>
    <row r="27" spans="2:10" ht="35.1" customHeight="1" x14ac:dyDescent="0.7">
      <c r="B27" s="76" t="s">
        <v>38</v>
      </c>
      <c r="C27" s="76"/>
      <c r="D27" s="76"/>
      <c r="E27" s="78" t="s">
        <v>129</v>
      </c>
      <c r="F27" s="79"/>
      <c r="G27" s="80"/>
    </row>
    <row r="28" spans="2:10" ht="35.1" customHeight="1" x14ac:dyDescent="0.7">
      <c r="B28" s="76" t="s">
        <v>39</v>
      </c>
      <c r="C28" s="76"/>
      <c r="D28" s="76"/>
      <c r="E28" s="78" t="s">
        <v>129</v>
      </c>
      <c r="F28" s="79"/>
      <c r="G28" s="80"/>
    </row>
    <row r="29" spans="2:10" ht="35.1" customHeight="1" x14ac:dyDescent="0.7">
      <c r="B29" s="76" t="s">
        <v>40</v>
      </c>
      <c r="C29" s="76"/>
      <c r="D29" s="76"/>
      <c r="E29" s="78" t="s">
        <v>129</v>
      </c>
      <c r="F29" s="79"/>
      <c r="G29" s="80"/>
    </row>
    <row r="30" spans="2:10" ht="35.1" customHeight="1" x14ac:dyDescent="0.7">
      <c r="B30" s="76" t="s">
        <v>41</v>
      </c>
      <c r="C30" s="76"/>
      <c r="D30" s="76"/>
      <c r="E30" s="78" t="s">
        <v>129</v>
      </c>
      <c r="F30" s="79"/>
      <c r="G30" s="80"/>
    </row>
    <row r="31" spans="2:10" ht="35.1" customHeight="1" x14ac:dyDescent="0.7"/>
    <row r="32" spans="2:10" ht="35.1" customHeight="1" x14ac:dyDescent="0.7">
      <c r="B32" s="72"/>
      <c r="C32" s="72"/>
      <c r="D32" s="72"/>
    </row>
  </sheetData>
  <mergeCells count="34">
    <mergeCell ref="B29:D29"/>
    <mergeCell ref="B30:D30"/>
    <mergeCell ref="B32:D32"/>
    <mergeCell ref="E24:G24"/>
    <mergeCell ref="B25:D25"/>
    <mergeCell ref="B26:D26"/>
    <mergeCell ref="B27:D27"/>
    <mergeCell ref="B28:D28"/>
    <mergeCell ref="E25:G25"/>
    <mergeCell ref="E26:G26"/>
    <mergeCell ref="E27:G27"/>
    <mergeCell ref="E28:G28"/>
    <mergeCell ref="E29:G29"/>
    <mergeCell ref="E30:G30"/>
    <mergeCell ref="B24:D24"/>
    <mergeCell ref="B2:C2"/>
    <mergeCell ref="B3:C3"/>
    <mergeCell ref="D2:I2"/>
    <mergeCell ref="D3:I3"/>
    <mergeCell ref="B9:F9"/>
    <mergeCell ref="B6:E6"/>
    <mergeCell ref="B7:E7"/>
    <mergeCell ref="B8:E8"/>
    <mergeCell ref="B5:F5"/>
    <mergeCell ref="H7:H8"/>
    <mergeCell ref="L6:M6"/>
    <mergeCell ref="K9:N9"/>
    <mergeCell ref="B23:G23"/>
    <mergeCell ref="B10:H11"/>
    <mergeCell ref="B12:F12"/>
    <mergeCell ref="B13:C13"/>
    <mergeCell ref="B14:C14"/>
    <mergeCell ref="D13:H13"/>
    <mergeCell ref="D14:H14"/>
  </mergeCells>
  <phoneticPr fontId="1"/>
  <dataValidations count="1">
    <dataValidation type="list" showInputMessage="1" showErrorMessage="1" sqref="E24:G30" xr:uid="{C0A06654-5875-44E6-961C-2950EE0110E5}">
      <formula1>$I$18:$I$22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DataToOtherSheet">
                <anchor moveWithCells="1" sizeWithCells="1">
                  <from>
                    <xdr:col>11</xdr:col>
                    <xdr:colOff>266700</xdr:colOff>
                    <xdr:row>6</xdr:row>
                    <xdr:rowOff>0</xdr:rowOff>
                  </from>
                  <to>
                    <xdr:col>12</xdr:col>
                    <xdr:colOff>428625</xdr:colOff>
                    <xdr:row>7</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1B5067F-2901-45B6-BA11-D43CDC4716B2}">
          <x14:formula1>
            <xm:f>設定!$P$3:$P$5</xm:f>
          </x14:formula1>
          <xm:sqref>H7:H8</xm:sqref>
        </x14:dataValidation>
        <x14:dataValidation type="list" allowBlank="1" showInputMessage="1" showErrorMessage="1" xr:uid="{F8D492F1-A8FE-4BFC-A2E7-71A1F71086B3}">
          <x14:formula1>
            <xm:f>設定!$N$3:$N$8</xm:f>
          </x14:formula1>
          <xm:sqref>D4</xm:sqref>
        </x14:dataValidation>
        <x14:dataValidation type="list" allowBlank="1" showInputMessage="1" showErrorMessage="1" xr:uid="{2743A073-D69A-4509-B42B-6F85F72068F1}">
          <x14:formula1>
            <xm:f>設定!$L$3:$L$4</xm:f>
          </x14:formula1>
          <xm:sqref>F6:F8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6A02C-ADF4-468F-B050-158CDB7398B5}">
  <sheetPr codeName="Sheet4"/>
  <dimension ref="A2:I31"/>
  <sheetViews>
    <sheetView workbookViewId="0">
      <selection activeCell="H7" sqref="H7:H8"/>
    </sheetView>
  </sheetViews>
  <sheetFormatPr defaultRowHeight="17.649999999999999" x14ac:dyDescent="0.7"/>
  <cols>
    <col min="1" max="1" width="5.5" customWidth="1"/>
    <col min="2" max="2" width="9" customWidth="1"/>
    <col min="4" max="4" width="4.375" customWidth="1"/>
    <col min="8" max="8" width="15.5" customWidth="1"/>
  </cols>
  <sheetData>
    <row r="2" spans="1:9" ht="30" customHeight="1" x14ac:dyDescent="0.7">
      <c r="B2" s="71" t="s">
        <v>0</v>
      </c>
      <c r="C2" s="72"/>
      <c r="D2" s="73" t="s">
        <v>22</v>
      </c>
      <c r="E2" s="73"/>
      <c r="F2" s="73"/>
      <c r="G2" s="73"/>
      <c r="H2" s="73"/>
      <c r="I2" s="73"/>
    </row>
    <row r="3" spans="1:9" ht="30" customHeight="1" x14ac:dyDescent="0.7">
      <c r="B3" s="71" t="s">
        <v>4</v>
      </c>
      <c r="C3" s="72"/>
      <c r="D3" s="73" t="str">
        <f>設定!H8</f>
        <v>設定されていません。設定画面で設定してください。</v>
      </c>
      <c r="E3" s="73"/>
      <c r="F3" s="73"/>
      <c r="G3" s="73"/>
      <c r="H3" s="73"/>
      <c r="I3" s="73"/>
    </row>
    <row r="4" spans="1:9" ht="40.15" customHeight="1" x14ac:dyDescent="0.7">
      <c r="B4" s="8" t="s">
        <v>8</v>
      </c>
      <c r="C4" s="8" t="s">
        <v>42</v>
      </c>
      <c r="D4" s="11">
        <v>2</v>
      </c>
      <c r="E4" s="3" t="s">
        <v>24</v>
      </c>
      <c r="F4" s="3"/>
      <c r="G4" s="2" t="s">
        <v>19</v>
      </c>
      <c r="H4" s="9">
        <v>44562</v>
      </c>
    </row>
    <row r="5" spans="1:9" x14ac:dyDescent="0.7">
      <c r="A5" s="2">
        <v>1</v>
      </c>
      <c r="B5" s="68" t="s">
        <v>25</v>
      </c>
      <c r="C5" s="68"/>
      <c r="D5" s="68"/>
      <c r="E5" s="68"/>
      <c r="F5" s="68"/>
    </row>
    <row r="6" spans="1:9" x14ac:dyDescent="0.7">
      <c r="A6" s="2"/>
      <c r="B6" s="76" t="str">
        <f>設定!B9</f>
        <v>設定されていません。設定画面で設定してください。</v>
      </c>
      <c r="C6" s="76"/>
      <c r="D6" s="76"/>
      <c r="E6" s="76"/>
      <c r="F6" s="6" t="s">
        <v>3</v>
      </c>
      <c r="H6" s="10" t="s">
        <v>26</v>
      </c>
    </row>
    <row r="7" spans="1:9" x14ac:dyDescent="0.7">
      <c r="A7" s="2"/>
      <c r="B7" s="76" t="str">
        <f>設定!B10</f>
        <v>設定されていません。設定画面で設定してください。</v>
      </c>
      <c r="C7" s="76"/>
      <c r="D7" s="76"/>
      <c r="E7" s="76"/>
      <c r="F7" s="6" t="s">
        <v>2</v>
      </c>
      <c r="H7" s="81" t="s">
        <v>43</v>
      </c>
    </row>
    <row r="8" spans="1:9" x14ac:dyDescent="0.7">
      <c r="A8" s="2"/>
      <c r="B8" s="76" t="str">
        <f>設定!B11</f>
        <v>設定されていません。設定画面で設定してください。</v>
      </c>
      <c r="C8" s="76"/>
      <c r="D8" s="76"/>
      <c r="E8" s="76"/>
      <c r="F8" s="6" t="s">
        <v>3</v>
      </c>
      <c r="H8" s="81"/>
    </row>
    <row r="9" spans="1:9" x14ac:dyDescent="0.7">
      <c r="A9" s="2">
        <v>2</v>
      </c>
      <c r="B9" s="68" t="s">
        <v>27</v>
      </c>
      <c r="C9" s="68"/>
      <c r="D9" s="68"/>
      <c r="E9" s="68"/>
      <c r="F9" s="68"/>
    </row>
    <row r="10" spans="1:9" x14ac:dyDescent="0.7">
      <c r="B10" s="82" t="s">
        <v>44</v>
      </c>
      <c r="C10" s="82"/>
      <c r="D10" s="82"/>
      <c r="E10" s="82"/>
      <c r="F10" s="82"/>
      <c r="G10" s="82"/>
      <c r="H10" s="82"/>
    </row>
    <row r="11" spans="1:9" x14ac:dyDescent="0.7">
      <c r="B11" s="82"/>
      <c r="C11" s="82"/>
      <c r="D11" s="82"/>
      <c r="E11" s="82"/>
      <c r="F11" s="82"/>
      <c r="G11" s="82"/>
      <c r="H11" s="82"/>
    </row>
    <row r="12" spans="1:9" x14ac:dyDescent="0.7">
      <c r="A12" s="2">
        <v>3</v>
      </c>
      <c r="B12" s="68" t="s">
        <v>29</v>
      </c>
      <c r="C12" s="68"/>
      <c r="D12" s="68"/>
      <c r="E12" s="68"/>
      <c r="F12" s="68"/>
    </row>
    <row r="13" spans="1:9" x14ac:dyDescent="0.7">
      <c r="B13" s="69" t="s">
        <v>30</v>
      </c>
      <c r="C13" s="69"/>
      <c r="D13" s="82"/>
      <c r="E13" s="82"/>
      <c r="F13" s="82"/>
      <c r="G13" s="82"/>
      <c r="H13" s="82"/>
    </row>
    <row r="14" spans="1:9" x14ac:dyDescent="0.7">
      <c r="B14" s="69" t="s">
        <v>32</v>
      </c>
      <c r="C14" s="69"/>
      <c r="D14" s="82"/>
      <c r="E14" s="82"/>
      <c r="F14" s="82"/>
      <c r="G14" s="82"/>
      <c r="H14" s="82"/>
    </row>
    <row r="18" spans="2:7" x14ac:dyDescent="0.7">
      <c r="B18" t="s">
        <v>33</v>
      </c>
    </row>
    <row r="19" spans="2:7" ht="35.1" customHeight="1" x14ac:dyDescent="0.7">
      <c r="B19" s="82"/>
      <c r="C19" s="82"/>
      <c r="D19" s="82"/>
      <c r="E19" s="82"/>
      <c r="F19" s="82"/>
      <c r="G19" s="82"/>
    </row>
    <row r="20" spans="2:7" ht="35.1" customHeight="1" x14ac:dyDescent="0.7">
      <c r="B20" s="82"/>
      <c r="C20" s="82"/>
      <c r="D20" s="82"/>
      <c r="E20" s="82"/>
      <c r="F20" s="82"/>
      <c r="G20" s="82"/>
    </row>
    <row r="22" spans="2:7" x14ac:dyDescent="0.7">
      <c r="B22" t="s">
        <v>34</v>
      </c>
    </row>
    <row r="23" spans="2:7" ht="35.1" customHeight="1" x14ac:dyDescent="0.7">
      <c r="B23" s="72" t="s">
        <v>35</v>
      </c>
      <c r="C23" s="72"/>
      <c r="D23" s="72"/>
      <c r="E23" s="72"/>
      <c r="F23" s="72"/>
      <c r="G23" s="72"/>
    </row>
    <row r="24" spans="2:7" ht="35.1" customHeight="1" x14ac:dyDescent="0.7">
      <c r="B24" s="72" t="s">
        <v>36</v>
      </c>
      <c r="C24" s="72"/>
      <c r="D24" s="72"/>
      <c r="E24" s="72"/>
      <c r="F24" s="72"/>
      <c r="G24" s="72"/>
    </row>
    <row r="25" spans="2:7" ht="35.1" customHeight="1" x14ac:dyDescent="0.7">
      <c r="B25" s="72" t="s">
        <v>37</v>
      </c>
      <c r="C25" s="72"/>
      <c r="D25" s="72"/>
      <c r="E25" s="72"/>
      <c r="F25" s="72"/>
      <c r="G25" s="72"/>
    </row>
    <row r="26" spans="2:7" ht="35.1" customHeight="1" x14ac:dyDescent="0.7">
      <c r="B26" s="72" t="s">
        <v>38</v>
      </c>
      <c r="C26" s="72"/>
      <c r="D26" s="72"/>
      <c r="E26" s="72"/>
      <c r="F26" s="72"/>
      <c r="G26" s="72"/>
    </row>
    <row r="27" spans="2:7" ht="35.1" customHeight="1" x14ac:dyDescent="0.7">
      <c r="B27" s="72" t="s">
        <v>39</v>
      </c>
      <c r="C27" s="72"/>
      <c r="D27" s="72"/>
      <c r="E27" s="72"/>
      <c r="F27" s="72"/>
      <c r="G27" s="72"/>
    </row>
    <row r="28" spans="2:7" ht="35.1" customHeight="1" x14ac:dyDescent="0.7">
      <c r="B28" s="72" t="s">
        <v>40</v>
      </c>
      <c r="C28" s="72"/>
      <c r="D28" s="72"/>
      <c r="E28" s="72"/>
      <c r="F28" s="72"/>
      <c r="G28" s="72"/>
    </row>
    <row r="29" spans="2:7" ht="35.1" customHeight="1" x14ac:dyDescent="0.7">
      <c r="B29" s="72" t="s">
        <v>41</v>
      </c>
      <c r="C29" s="72"/>
      <c r="D29" s="72"/>
      <c r="E29" s="72"/>
      <c r="F29" s="72"/>
      <c r="G29" s="72"/>
    </row>
    <row r="30" spans="2:7" ht="35.1" customHeight="1" x14ac:dyDescent="0.7"/>
    <row r="31" spans="2:7" ht="35.1" customHeight="1" x14ac:dyDescent="0.7">
      <c r="B31" s="72"/>
      <c r="C31" s="72"/>
      <c r="D31" s="72"/>
    </row>
  </sheetData>
  <mergeCells count="35">
    <mergeCell ref="B28:D28"/>
    <mergeCell ref="E28:G28"/>
    <mergeCell ref="B29:D29"/>
    <mergeCell ref="E29:G29"/>
    <mergeCell ref="B31:D31"/>
    <mergeCell ref="B25:D25"/>
    <mergeCell ref="E25:G25"/>
    <mergeCell ref="B26:D26"/>
    <mergeCell ref="E26:G26"/>
    <mergeCell ref="B27:D27"/>
    <mergeCell ref="E27:G27"/>
    <mergeCell ref="B20:D20"/>
    <mergeCell ref="E20:G20"/>
    <mergeCell ref="B23:D23"/>
    <mergeCell ref="E23:G23"/>
    <mergeCell ref="B24:D24"/>
    <mergeCell ref="E24:G24"/>
    <mergeCell ref="B13:C13"/>
    <mergeCell ref="D13:H13"/>
    <mergeCell ref="B14:C14"/>
    <mergeCell ref="D14:H14"/>
    <mergeCell ref="B19:D19"/>
    <mergeCell ref="E19:G19"/>
    <mergeCell ref="B12:F12"/>
    <mergeCell ref="B2:C2"/>
    <mergeCell ref="D2:I2"/>
    <mergeCell ref="B3:C3"/>
    <mergeCell ref="D3:I3"/>
    <mergeCell ref="B5:F5"/>
    <mergeCell ref="B6:E6"/>
    <mergeCell ref="B7:E7"/>
    <mergeCell ref="H7:H8"/>
    <mergeCell ref="B8:E8"/>
    <mergeCell ref="B9:F9"/>
    <mergeCell ref="B10:H11"/>
  </mergeCells>
  <phoneticPr fontId="1"/>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14D42FCF-A7B4-4FA8-AA47-D2C3CA87ADB9}">
          <x14:formula1>
            <xm:f>設定!$P$3:$P$5</xm:f>
          </x14:formula1>
          <xm:sqref>H7:H8</xm:sqref>
        </x14:dataValidation>
        <x14:dataValidation type="list" allowBlank="1" showInputMessage="1" showErrorMessage="1" xr:uid="{A997C842-D2CF-4D4C-B674-1AC13452B86F}">
          <x14:formula1>
            <xm:f>設定!$N$3:$N$8</xm:f>
          </x14:formula1>
          <xm:sqref>D4</xm:sqref>
        </x14:dataValidation>
        <x14:dataValidation type="list" allowBlank="1" showInputMessage="1" showErrorMessage="1" xr:uid="{43FAA92D-D0E8-4BD5-A256-FE55B51EDF49}">
          <x14:formula1>
            <xm:f>設定!$L$3:$L$4</xm:f>
          </x14:formula1>
          <xm:sqref>F6:F8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62770-AAC5-44C5-840C-6648C7754318}">
  <sheetPr codeName="Sheet1">
    <tabColor rgb="FFFF0000"/>
  </sheetPr>
  <dimension ref="A1:R64"/>
  <sheetViews>
    <sheetView topLeftCell="A62" zoomScale="79" zoomScaleNormal="115" workbookViewId="0">
      <selection activeCell="K73" sqref="K73"/>
    </sheetView>
  </sheetViews>
  <sheetFormatPr defaultRowHeight="17.649999999999999" x14ac:dyDescent="0.7"/>
  <cols>
    <col min="1" max="1" width="11" style="20" customWidth="1"/>
    <col min="2" max="7" width="9" style="20"/>
    <col min="8" max="8" width="9.125" style="20" customWidth="1"/>
    <col min="9" max="9" width="9" style="20"/>
    <col min="10" max="10" width="10.625" style="20" customWidth="1"/>
    <col min="11" max="11" width="9" style="20"/>
    <col min="12" max="12" width="9.625" style="20" customWidth="1"/>
    <col min="13" max="15" width="9" style="20"/>
    <col min="16" max="16" width="13.625" style="20" customWidth="1"/>
    <col min="17" max="17" width="12.625" style="20" customWidth="1"/>
    <col min="18" max="18" width="12.25" style="20" customWidth="1"/>
    <col min="19" max="16384" width="9" style="20"/>
  </cols>
  <sheetData>
    <row r="1" spans="1:18" x14ac:dyDescent="0.7">
      <c r="A1" s="56" t="s">
        <v>45</v>
      </c>
      <c r="B1" s="56"/>
      <c r="C1" s="56"/>
      <c r="D1" s="56"/>
      <c r="E1" s="56"/>
      <c r="F1" s="56"/>
    </row>
    <row r="2" spans="1:18" ht="18.399999999999999" thickBot="1" x14ac:dyDescent="0.75">
      <c r="A2" s="20" t="s">
        <v>46</v>
      </c>
      <c r="B2" s="8"/>
      <c r="C2" s="8"/>
      <c r="D2" s="8"/>
      <c r="E2" s="8"/>
      <c r="F2" s="8"/>
      <c r="H2" s="89" t="s">
        <v>47</v>
      </c>
      <c r="I2" s="90"/>
      <c r="J2" s="90"/>
      <c r="L2" s="29" t="s">
        <v>48</v>
      </c>
      <c r="N2" s="29" t="s">
        <v>49</v>
      </c>
      <c r="P2" s="29" t="s">
        <v>50</v>
      </c>
      <c r="R2" s="29" t="s">
        <v>51</v>
      </c>
    </row>
    <row r="3" spans="1:18" ht="18" thickTop="1" x14ac:dyDescent="0.7">
      <c r="A3" s="20" t="s">
        <v>52</v>
      </c>
      <c r="H3" s="30" t="s">
        <v>53</v>
      </c>
      <c r="I3" s="91" t="s">
        <v>54</v>
      </c>
      <c r="J3" s="91"/>
      <c r="L3" s="22" t="s">
        <v>12</v>
      </c>
      <c r="N3" s="22">
        <v>1</v>
      </c>
      <c r="P3" s="22" t="s">
        <v>55</v>
      </c>
      <c r="R3" s="22" t="s">
        <v>23</v>
      </c>
    </row>
    <row r="4" spans="1:18" x14ac:dyDescent="0.7">
      <c r="H4" s="31" t="s">
        <v>56</v>
      </c>
      <c r="I4" s="92" t="s">
        <v>57</v>
      </c>
      <c r="J4" s="92"/>
      <c r="L4" s="23" t="s">
        <v>13</v>
      </c>
      <c r="N4" s="23">
        <v>2</v>
      </c>
      <c r="P4" s="22" t="s">
        <v>58</v>
      </c>
      <c r="R4" s="23" t="s">
        <v>42</v>
      </c>
    </row>
    <row r="5" spans="1:18" x14ac:dyDescent="0.7">
      <c r="H5" s="31" t="s">
        <v>59</v>
      </c>
      <c r="I5" s="92" t="s">
        <v>60</v>
      </c>
      <c r="J5" s="92"/>
      <c r="N5" s="22">
        <v>3</v>
      </c>
      <c r="P5" s="22" t="s">
        <v>61</v>
      </c>
      <c r="R5" s="23" t="s">
        <v>62</v>
      </c>
    </row>
    <row r="6" spans="1:18" x14ac:dyDescent="0.7">
      <c r="N6" s="23">
        <v>4</v>
      </c>
      <c r="R6" s="23" t="s">
        <v>63</v>
      </c>
    </row>
    <row r="7" spans="1:18" ht="18" thickBot="1" x14ac:dyDescent="0.75">
      <c r="H7" s="88" t="s">
        <v>103</v>
      </c>
      <c r="I7" s="88"/>
      <c r="J7" s="88"/>
      <c r="N7" s="22">
        <v>5</v>
      </c>
      <c r="R7" s="23" t="s">
        <v>64</v>
      </c>
    </row>
    <row r="8" spans="1:18" ht="26.65" customHeight="1" thickBot="1" x14ac:dyDescent="0.75">
      <c r="A8" s="32"/>
      <c r="B8" s="96" t="s">
        <v>101</v>
      </c>
      <c r="C8" s="96"/>
      <c r="D8" s="96"/>
      <c r="E8" s="96"/>
      <c r="F8" s="97"/>
      <c r="H8" s="87" t="s">
        <v>102</v>
      </c>
      <c r="I8" s="87"/>
      <c r="J8" s="87"/>
      <c r="K8" s="87"/>
      <c r="L8" s="87"/>
      <c r="N8" s="23">
        <v>6</v>
      </c>
      <c r="R8" s="23" t="s">
        <v>65</v>
      </c>
    </row>
    <row r="9" spans="1:18" x14ac:dyDescent="0.7">
      <c r="A9" s="33" t="s">
        <v>66</v>
      </c>
      <c r="B9" s="93" t="s">
        <v>100</v>
      </c>
      <c r="C9" s="94"/>
      <c r="D9" s="94"/>
      <c r="E9" s="94"/>
      <c r="F9" s="95"/>
      <c r="R9" s="23" t="s">
        <v>99</v>
      </c>
    </row>
    <row r="10" spans="1:18" x14ac:dyDescent="0.7">
      <c r="A10" s="34" t="s">
        <v>68</v>
      </c>
      <c r="B10" s="93" t="s">
        <v>100</v>
      </c>
      <c r="C10" s="94"/>
      <c r="D10" s="94"/>
      <c r="E10" s="94"/>
      <c r="F10" s="95"/>
      <c r="R10" s="23" t="s">
        <v>69</v>
      </c>
    </row>
    <row r="11" spans="1:18" ht="18" thickBot="1" x14ac:dyDescent="0.75">
      <c r="A11" s="35" t="s">
        <v>70</v>
      </c>
      <c r="B11" s="93" t="s">
        <v>100</v>
      </c>
      <c r="C11" s="94"/>
      <c r="D11" s="94"/>
      <c r="E11" s="94"/>
      <c r="F11" s="95"/>
      <c r="R11" s="23" t="s">
        <v>71</v>
      </c>
    </row>
    <row r="12" spans="1:18" x14ac:dyDescent="0.7">
      <c r="B12" s="56"/>
      <c r="C12" s="56"/>
      <c r="D12" s="56"/>
      <c r="E12" s="56"/>
      <c r="F12" s="56"/>
      <c r="R12" s="23" t="s">
        <v>72</v>
      </c>
    </row>
    <row r="13" spans="1:18" x14ac:dyDescent="0.7">
      <c r="R13" s="23" t="s">
        <v>73</v>
      </c>
    </row>
    <row r="14" spans="1:18" x14ac:dyDescent="0.7">
      <c r="R14" s="23" t="s">
        <v>74</v>
      </c>
    </row>
    <row r="15" spans="1:18" x14ac:dyDescent="0.7">
      <c r="R15" s="23" t="s">
        <v>75</v>
      </c>
    </row>
    <row r="18" spans="1:16" x14ac:dyDescent="0.7">
      <c r="A18" s="86" t="s">
        <v>76</v>
      </c>
      <c r="B18" s="86"/>
      <c r="C18" s="86"/>
      <c r="D18" s="86"/>
      <c r="E18" s="86"/>
      <c r="F18" s="86"/>
      <c r="H18" s="36"/>
      <c r="I18" s="36"/>
      <c r="J18" s="36"/>
      <c r="K18" s="36"/>
      <c r="L18" s="36"/>
      <c r="M18" s="36"/>
      <c r="N18" s="36"/>
      <c r="O18" s="36"/>
      <c r="P18" s="36"/>
    </row>
    <row r="19" spans="1:16" x14ac:dyDescent="0.7">
      <c r="A19" s="21"/>
      <c r="B19" s="21" t="s">
        <v>21</v>
      </c>
      <c r="C19" s="21" t="s">
        <v>77</v>
      </c>
      <c r="D19" s="21" t="s">
        <v>78</v>
      </c>
      <c r="E19" s="21" t="s">
        <v>79</v>
      </c>
      <c r="F19" s="21" t="s">
        <v>80</v>
      </c>
      <c r="H19" s="36"/>
      <c r="I19" s="36"/>
      <c r="J19" s="36"/>
      <c r="K19" s="36"/>
      <c r="L19" s="36"/>
      <c r="M19" s="36"/>
      <c r="N19" s="36"/>
      <c r="O19" s="36"/>
      <c r="P19" s="36"/>
    </row>
    <row r="20" spans="1:16" x14ac:dyDescent="0.7">
      <c r="A20" s="21" t="s">
        <v>81</v>
      </c>
      <c r="B20" s="37" t="s">
        <v>23</v>
      </c>
      <c r="C20" s="37" t="s">
        <v>64</v>
      </c>
      <c r="D20" s="37" t="s">
        <v>42</v>
      </c>
      <c r="E20" s="37" t="s">
        <v>23</v>
      </c>
      <c r="F20" s="37" t="s">
        <v>23</v>
      </c>
      <c r="H20" s="36"/>
      <c r="I20" s="36"/>
      <c r="J20" s="36"/>
      <c r="K20" s="36"/>
      <c r="L20" s="36"/>
      <c r="M20" s="36"/>
      <c r="N20" s="36"/>
      <c r="O20" s="36"/>
      <c r="P20" s="36"/>
    </row>
    <row r="21" spans="1:16" x14ac:dyDescent="0.7">
      <c r="A21" s="21" t="s">
        <v>82</v>
      </c>
      <c r="B21" s="37" t="s">
        <v>23</v>
      </c>
      <c r="C21" s="37" t="s">
        <v>42</v>
      </c>
      <c r="D21" s="37" t="s">
        <v>64</v>
      </c>
      <c r="E21" s="37" t="s">
        <v>42</v>
      </c>
      <c r="F21" s="37" t="s">
        <v>83</v>
      </c>
      <c r="H21" s="36"/>
      <c r="I21" s="36"/>
      <c r="J21" s="36"/>
      <c r="K21" s="36"/>
      <c r="L21" s="36"/>
      <c r="M21" s="36"/>
      <c r="N21" s="36"/>
      <c r="O21" s="36"/>
      <c r="P21" s="36"/>
    </row>
    <row r="22" spans="1:16" x14ac:dyDescent="0.7">
      <c r="A22" s="21" t="s">
        <v>84</v>
      </c>
      <c r="B22" s="37" t="s">
        <v>42</v>
      </c>
      <c r="C22" s="37" t="s">
        <v>64</v>
      </c>
      <c r="D22" s="37" t="s">
        <v>23</v>
      </c>
      <c r="E22" s="37" t="s">
        <v>63</v>
      </c>
      <c r="F22" s="37" t="s">
        <v>85</v>
      </c>
      <c r="H22" s="36"/>
      <c r="I22" s="36"/>
      <c r="J22" s="36"/>
      <c r="K22" s="36"/>
      <c r="L22" s="36"/>
      <c r="M22" s="36"/>
      <c r="N22" s="36"/>
      <c r="O22" s="36"/>
      <c r="P22" s="36"/>
    </row>
    <row r="23" spans="1:16" x14ac:dyDescent="0.7">
      <c r="A23" s="21" t="s">
        <v>86</v>
      </c>
      <c r="B23" s="37" t="s">
        <v>62</v>
      </c>
      <c r="C23" s="37" t="s">
        <v>64</v>
      </c>
      <c r="D23" s="37" t="s">
        <v>87</v>
      </c>
      <c r="E23" s="37" t="s">
        <v>62</v>
      </c>
      <c r="F23" s="37" t="s">
        <v>88</v>
      </c>
      <c r="H23" s="36"/>
      <c r="I23" s="36"/>
      <c r="J23" s="36"/>
      <c r="K23" s="36"/>
      <c r="L23" s="36"/>
      <c r="M23" s="36"/>
      <c r="N23" s="36"/>
      <c r="O23" s="36"/>
      <c r="P23" s="36"/>
    </row>
    <row r="24" spans="1:16" x14ac:dyDescent="0.7">
      <c r="A24" s="21" t="s">
        <v>89</v>
      </c>
      <c r="B24" s="37" t="s">
        <v>67</v>
      </c>
      <c r="C24" s="37" t="s">
        <v>69</v>
      </c>
      <c r="D24" s="37" t="s">
        <v>62</v>
      </c>
      <c r="E24" s="37" t="s">
        <v>87</v>
      </c>
      <c r="F24" s="37" t="s">
        <v>90</v>
      </c>
      <c r="H24" s="36"/>
      <c r="I24" s="36"/>
      <c r="J24" s="36"/>
      <c r="K24" s="36"/>
      <c r="L24" s="36"/>
      <c r="M24" s="36"/>
      <c r="N24" s="36"/>
      <c r="O24" s="36"/>
      <c r="P24" s="36"/>
    </row>
    <row r="25" spans="1:16" x14ac:dyDescent="0.7">
      <c r="A25" s="21" t="s">
        <v>91</v>
      </c>
      <c r="B25" s="37" t="s">
        <v>67</v>
      </c>
      <c r="C25" s="37" t="s">
        <v>69</v>
      </c>
      <c r="D25" s="38"/>
      <c r="E25" s="37" t="s">
        <v>73</v>
      </c>
      <c r="F25" s="37" t="s">
        <v>92</v>
      </c>
      <c r="H25" s="36"/>
      <c r="I25" s="36"/>
      <c r="J25" s="36"/>
      <c r="K25" s="36"/>
      <c r="L25" s="36"/>
      <c r="M25" s="36"/>
      <c r="N25" s="36"/>
      <c r="O25" s="36"/>
      <c r="P25" s="36"/>
    </row>
    <row r="26" spans="1:16" x14ac:dyDescent="0.7">
      <c r="A26" s="21" t="s">
        <v>93</v>
      </c>
      <c r="B26" s="21"/>
      <c r="C26" s="21"/>
      <c r="D26" s="21"/>
      <c r="E26" s="21"/>
      <c r="F26" s="21"/>
      <c r="H26" s="36"/>
      <c r="I26" s="36"/>
      <c r="J26" s="36"/>
      <c r="K26" s="36"/>
      <c r="L26" s="36"/>
      <c r="M26" s="36"/>
      <c r="N26" s="36"/>
      <c r="O26" s="36"/>
      <c r="P26" s="36"/>
    </row>
    <row r="34" spans="2:12" x14ac:dyDescent="0.7">
      <c r="B34" s="20" t="s">
        <v>94</v>
      </c>
    </row>
    <row r="38" spans="2:12" x14ac:dyDescent="0.7">
      <c r="L38" s="20" t="s">
        <v>95</v>
      </c>
    </row>
    <row r="53" spans="1:17" x14ac:dyDescent="0.7">
      <c r="A53" s="83" t="s">
        <v>96</v>
      </c>
      <c r="B53" s="84"/>
      <c r="C53" s="84"/>
      <c r="D53" s="84"/>
      <c r="E53" s="84"/>
      <c r="F53" s="84"/>
      <c r="G53" s="84"/>
      <c r="H53" s="84"/>
      <c r="I53" s="84"/>
      <c r="J53" s="84"/>
      <c r="K53" s="84"/>
      <c r="L53" s="84"/>
      <c r="M53" s="84"/>
      <c r="N53" s="84"/>
      <c r="O53" s="84"/>
      <c r="P53" s="84"/>
      <c r="Q53" s="84"/>
    </row>
    <row r="54" spans="1:17" x14ac:dyDescent="0.7">
      <c r="A54" s="84"/>
      <c r="B54" s="84"/>
      <c r="C54" s="84"/>
      <c r="D54" s="84"/>
      <c r="E54" s="84"/>
      <c r="F54" s="84"/>
      <c r="G54" s="84"/>
      <c r="H54" s="84"/>
      <c r="I54" s="84"/>
      <c r="J54" s="84"/>
      <c r="K54" s="84"/>
      <c r="L54" s="84"/>
      <c r="M54" s="84"/>
      <c r="N54" s="84"/>
      <c r="O54" s="84"/>
      <c r="P54" s="84"/>
      <c r="Q54" s="84"/>
    </row>
    <row r="55" spans="1:17" ht="18.75" customHeight="1" x14ac:dyDescent="0.7">
      <c r="A55" s="85" t="s">
        <v>97</v>
      </c>
      <c r="B55" s="85"/>
      <c r="C55" s="85"/>
      <c r="D55" s="85"/>
      <c r="E55" s="85"/>
      <c r="F55" s="85"/>
      <c r="G55" s="85"/>
      <c r="H55" s="85"/>
      <c r="I55" s="85"/>
      <c r="J55" s="85"/>
      <c r="K55" s="85"/>
      <c r="L55" s="85"/>
      <c r="M55" s="85"/>
      <c r="N55" s="85"/>
      <c r="O55" s="85"/>
      <c r="P55" s="85"/>
      <c r="Q55" s="85"/>
    </row>
    <row r="56" spans="1:17" x14ac:dyDescent="0.7">
      <c r="A56" s="85"/>
      <c r="B56" s="85"/>
      <c r="C56" s="85"/>
      <c r="D56" s="85"/>
      <c r="E56" s="85"/>
      <c r="F56" s="85"/>
      <c r="G56" s="85"/>
      <c r="H56" s="85"/>
      <c r="I56" s="85"/>
      <c r="J56" s="85"/>
      <c r="K56" s="85"/>
      <c r="L56" s="85"/>
      <c r="M56" s="85"/>
      <c r="N56" s="85"/>
      <c r="O56" s="85"/>
      <c r="P56" s="85"/>
      <c r="Q56" s="85"/>
    </row>
    <row r="57" spans="1:17" x14ac:dyDescent="0.7">
      <c r="A57" s="85"/>
      <c r="B57" s="85"/>
      <c r="C57" s="85"/>
      <c r="D57" s="85"/>
      <c r="E57" s="85"/>
      <c r="F57" s="85"/>
      <c r="G57" s="85"/>
      <c r="H57" s="85"/>
      <c r="I57" s="85"/>
      <c r="J57" s="85"/>
      <c r="K57" s="85"/>
      <c r="L57" s="85"/>
      <c r="M57" s="85"/>
      <c r="N57" s="85"/>
      <c r="O57" s="85"/>
      <c r="P57" s="85"/>
      <c r="Q57" s="85"/>
    </row>
    <row r="58" spans="1:17" x14ac:dyDescent="0.7">
      <c r="A58" s="85"/>
      <c r="B58" s="85"/>
      <c r="C58" s="85"/>
      <c r="D58" s="85"/>
      <c r="E58" s="85"/>
      <c r="F58" s="85"/>
      <c r="G58" s="85"/>
      <c r="H58" s="85"/>
      <c r="I58" s="85"/>
      <c r="J58" s="85"/>
      <c r="K58" s="85"/>
      <c r="L58" s="85"/>
      <c r="M58" s="85"/>
      <c r="N58" s="85"/>
      <c r="O58" s="85"/>
      <c r="P58" s="85"/>
      <c r="Q58" s="85"/>
    </row>
    <row r="59" spans="1:17" x14ac:dyDescent="0.7">
      <c r="A59" s="85"/>
      <c r="B59" s="85"/>
      <c r="C59" s="85"/>
      <c r="D59" s="85"/>
      <c r="E59" s="85"/>
      <c r="F59" s="85"/>
      <c r="G59" s="85"/>
      <c r="H59" s="85"/>
      <c r="I59" s="85"/>
      <c r="J59" s="85"/>
      <c r="K59" s="85"/>
      <c r="L59" s="85"/>
      <c r="M59" s="85"/>
      <c r="N59" s="85"/>
      <c r="O59" s="85"/>
      <c r="P59" s="85"/>
      <c r="Q59" s="85"/>
    </row>
    <row r="60" spans="1:17" x14ac:dyDescent="0.7">
      <c r="A60" s="85"/>
      <c r="B60" s="85"/>
      <c r="C60" s="85"/>
      <c r="D60" s="85"/>
      <c r="E60" s="85"/>
      <c r="F60" s="85"/>
      <c r="G60" s="85"/>
      <c r="H60" s="85"/>
      <c r="I60" s="85"/>
      <c r="J60" s="85"/>
      <c r="K60" s="85"/>
      <c r="L60" s="85"/>
      <c r="M60" s="85"/>
      <c r="N60" s="85"/>
      <c r="O60" s="85"/>
      <c r="P60" s="85"/>
      <c r="Q60" s="85"/>
    </row>
    <row r="61" spans="1:17" x14ac:dyDescent="0.7">
      <c r="A61" s="85"/>
      <c r="B61" s="85"/>
      <c r="C61" s="85"/>
      <c r="D61" s="85"/>
      <c r="E61" s="85"/>
      <c r="F61" s="85"/>
      <c r="G61" s="85"/>
      <c r="H61" s="85"/>
      <c r="I61" s="85"/>
      <c r="J61" s="85"/>
      <c r="K61" s="85"/>
      <c r="L61" s="85"/>
      <c r="M61" s="85"/>
      <c r="N61" s="85"/>
      <c r="O61" s="85"/>
      <c r="P61" s="85"/>
      <c r="Q61" s="85"/>
    </row>
    <row r="62" spans="1:17" x14ac:dyDescent="0.7">
      <c r="A62" s="85"/>
      <c r="B62" s="85"/>
      <c r="C62" s="85"/>
      <c r="D62" s="85"/>
      <c r="E62" s="85"/>
      <c r="F62" s="85"/>
      <c r="G62" s="85"/>
      <c r="H62" s="85"/>
      <c r="I62" s="85"/>
      <c r="J62" s="85"/>
      <c r="K62" s="85"/>
      <c r="L62" s="85"/>
      <c r="M62" s="85"/>
      <c r="N62" s="85"/>
      <c r="O62" s="85"/>
      <c r="P62" s="85"/>
      <c r="Q62" s="85"/>
    </row>
    <row r="63" spans="1:17" x14ac:dyDescent="0.7">
      <c r="A63" s="85"/>
      <c r="B63" s="85"/>
      <c r="C63" s="85"/>
      <c r="D63" s="85"/>
      <c r="E63" s="85"/>
      <c r="F63" s="85"/>
      <c r="G63" s="85"/>
      <c r="H63" s="85"/>
      <c r="I63" s="85"/>
      <c r="J63" s="85"/>
      <c r="K63" s="85"/>
      <c r="L63" s="85"/>
      <c r="M63" s="85"/>
      <c r="N63" s="85"/>
      <c r="O63" s="85"/>
      <c r="P63" s="85"/>
      <c r="Q63" s="85"/>
    </row>
    <row r="64" spans="1:17" x14ac:dyDescent="0.7">
      <c r="A64" s="85"/>
      <c r="B64" s="85"/>
      <c r="C64" s="85"/>
      <c r="D64" s="85"/>
      <c r="E64" s="85"/>
      <c r="F64" s="85"/>
      <c r="G64" s="85"/>
      <c r="H64" s="85"/>
      <c r="I64" s="85"/>
      <c r="J64" s="85"/>
      <c r="K64" s="85"/>
      <c r="L64" s="85"/>
      <c r="M64" s="85"/>
      <c r="N64" s="85"/>
      <c r="O64" s="85"/>
      <c r="P64" s="85"/>
      <c r="Q64" s="85"/>
    </row>
  </sheetData>
  <mergeCells count="15">
    <mergeCell ref="A53:Q54"/>
    <mergeCell ref="A55:Q64"/>
    <mergeCell ref="A18:F18"/>
    <mergeCell ref="A1:F1"/>
    <mergeCell ref="H8:L8"/>
    <mergeCell ref="H7:J7"/>
    <mergeCell ref="H2:J2"/>
    <mergeCell ref="I3:J3"/>
    <mergeCell ref="I4:J4"/>
    <mergeCell ref="I5:J5"/>
    <mergeCell ref="B9:F9"/>
    <mergeCell ref="B10:F10"/>
    <mergeCell ref="B11:F11"/>
    <mergeCell ref="B12:F12"/>
    <mergeCell ref="B8:F8"/>
  </mergeCells>
  <phoneticPr fontId="1"/>
  <dataValidations count="1">
    <dataValidation type="list" allowBlank="1" showInputMessage="1" showErrorMessage="1" sqref="B20:C25 E20:F25 D20:D24" xr:uid="{AF3E9D54-9D49-41B9-A52E-40151C769154}">
      <formula1>$R$3:$R$15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Group Box 1">
              <controlPr defaultSize="0" autoFill="0" autoPict="0">
                <anchor moveWithCells="1">
                  <from>
                    <xdr:col>7</xdr:col>
                    <xdr:colOff>114300</xdr:colOff>
                    <xdr:row>19</xdr:row>
                    <xdr:rowOff>38100</xdr:rowOff>
                  </from>
                  <to>
                    <xdr:col>9</xdr:col>
                    <xdr:colOff>190500</xdr:colOff>
                    <xdr:row>25</xdr:row>
                    <xdr:rowOff>85725</xdr:rowOff>
                  </to>
                </anchor>
              </controlPr>
            </control>
          </mc:Choice>
        </mc:AlternateContent>
        <mc:AlternateContent xmlns:mc="http://schemas.openxmlformats.org/markup-compatibility/2006">
          <mc:Choice Requires="x14">
            <control shapeId="3075" r:id="rId5" name="Option Button 3">
              <controlPr defaultSize="0" autoFill="0" autoLine="0" autoPict="0">
                <anchor moveWithCells="1">
                  <from>
                    <xdr:col>7</xdr:col>
                    <xdr:colOff>114300</xdr:colOff>
                    <xdr:row>19</xdr:row>
                    <xdr:rowOff>161925</xdr:rowOff>
                  </from>
                  <to>
                    <xdr:col>8</xdr:col>
                    <xdr:colOff>152400</xdr:colOff>
                    <xdr:row>20</xdr:row>
                    <xdr:rowOff>171450</xdr:rowOff>
                  </to>
                </anchor>
              </controlPr>
            </control>
          </mc:Choice>
        </mc:AlternateContent>
        <mc:AlternateContent xmlns:mc="http://schemas.openxmlformats.org/markup-compatibility/2006">
          <mc:Choice Requires="x14">
            <control shapeId="3076" r:id="rId6" name="Option Button 4">
              <controlPr defaultSize="0" autoFill="0" autoLine="0" autoPict="0">
                <anchor moveWithCells="1">
                  <from>
                    <xdr:col>7</xdr:col>
                    <xdr:colOff>114300</xdr:colOff>
                    <xdr:row>20</xdr:row>
                    <xdr:rowOff>161925</xdr:rowOff>
                  </from>
                  <to>
                    <xdr:col>8</xdr:col>
                    <xdr:colOff>590550</xdr:colOff>
                    <xdr:row>21</xdr:row>
                    <xdr:rowOff>171450</xdr:rowOff>
                  </to>
                </anchor>
              </controlPr>
            </control>
          </mc:Choice>
        </mc:AlternateContent>
        <mc:AlternateContent xmlns:mc="http://schemas.openxmlformats.org/markup-compatibility/2006">
          <mc:Choice Requires="x14">
            <control shapeId="3077" r:id="rId7" name="Option Button 5">
              <controlPr defaultSize="0" autoFill="0" autoLine="0" autoPict="0">
                <anchor moveWithCells="1">
                  <from>
                    <xdr:col>7</xdr:col>
                    <xdr:colOff>114300</xdr:colOff>
                    <xdr:row>21</xdr:row>
                    <xdr:rowOff>161925</xdr:rowOff>
                  </from>
                  <to>
                    <xdr:col>8</xdr:col>
                    <xdr:colOff>152400</xdr:colOff>
                    <xdr:row>22</xdr:row>
                    <xdr:rowOff>171450</xdr:rowOff>
                  </to>
                </anchor>
              </controlPr>
            </control>
          </mc:Choice>
        </mc:AlternateContent>
        <mc:AlternateContent xmlns:mc="http://schemas.openxmlformats.org/markup-compatibility/2006">
          <mc:Choice Requires="x14">
            <control shapeId="3084" r:id="rId8" name="Button 12">
              <controlPr defaultSize="0" print="0" autoFill="0" autoPict="0" macro="[0]!systemReset">
                <anchor moveWithCells="1" sizeWithCells="1">
                  <from>
                    <xdr:col>3</xdr:col>
                    <xdr:colOff>123825</xdr:colOff>
                    <xdr:row>65</xdr:row>
                    <xdr:rowOff>0</xdr:rowOff>
                  </from>
                  <to>
                    <xdr:col>5</xdr:col>
                    <xdr:colOff>428625</xdr:colOff>
                    <xdr:row>67</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form_open_setup1">
                <anchor moveWithCells="1" sizeWithCells="1">
                  <from>
                    <xdr:col>0</xdr:col>
                    <xdr:colOff>200025</xdr:colOff>
                    <xdr:row>65</xdr:row>
                    <xdr:rowOff>9525</xdr:rowOff>
                  </from>
                  <to>
                    <xdr:col>2</xdr:col>
                    <xdr:colOff>561975</xdr:colOff>
                    <xdr:row>66</xdr:row>
                    <xdr:rowOff>228600</xdr:rowOff>
                  </to>
                </anchor>
              </controlPr>
            </control>
          </mc:Choice>
        </mc:AlternateContent>
        <mc:AlternateContent xmlns:mc="http://schemas.openxmlformats.org/markup-compatibility/2006">
          <mc:Choice Requires="x14">
            <control shapeId="3089" r:id="rId10" name="Button 17">
              <controlPr defaultSize="0" print="0" autoFill="0" autoPict="0" macro="[0]!shokika">
                <anchor moveWithCells="1" sizeWithCells="1">
                  <from>
                    <xdr:col>6</xdr:col>
                    <xdr:colOff>219075</xdr:colOff>
                    <xdr:row>64</xdr:row>
                    <xdr:rowOff>238125</xdr:rowOff>
                  </from>
                  <to>
                    <xdr:col>8</xdr:col>
                    <xdr:colOff>504825</xdr:colOff>
                    <xdr:row>66</xdr:row>
                    <xdr:rowOff>238125</xdr:rowOff>
                  </to>
                </anchor>
              </controlPr>
            </control>
          </mc:Choice>
        </mc:AlternateContent>
        <mc:AlternateContent xmlns:mc="http://schemas.openxmlformats.org/markup-compatibility/2006">
          <mc:Choice Requires="x14">
            <control shapeId="3090" r:id="rId11" name="Group Box 18">
              <controlPr defaultSize="0" autoFill="0" autoPict="0">
                <anchor moveWithCells="1">
                  <from>
                    <xdr:col>9</xdr:col>
                    <xdr:colOff>590550</xdr:colOff>
                    <xdr:row>19</xdr:row>
                    <xdr:rowOff>57150</xdr:rowOff>
                  </from>
                  <to>
                    <xdr:col>11</xdr:col>
                    <xdr:colOff>552450</xdr:colOff>
                    <xdr:row>25</xdr:row>
                    <xdr:rowOff>104775</xdr:rowOff>
                  </to>
                </anchor>
              </controlPr>
            </control>
          </mc:Choice>
        </mc:AlternateContent>
        <mc:AlternateContent xmlns:mc="http://schemas.openxmlformats.org/markup-compatibility/2006">
          <mc:Choice Requires="x14">
            <control shapeId="3091" r:id="rId12" name="Option Button 19">
              <controlPr defaultSize="0" autoFill="0" autoLine="0" autoPict="0" macro="[0]!msgbox2">
                <anchor moveWithCells="1">
                  <from>
                    <xdr:col>10</xdr:col>
                    <xdr:colOff>47625</xdr:colOff>
                    <xdr:row>19</xdr:row>
                    <xdr:rowOff>190500</xdr:rowOff>
                  </from>
                  <to>
                    <xdr:col>11</xdr:col>
                    <xdr:colOff>390525</xdr:colOff>
                    <xdr:row>20</xdr:row>
                    <xdr:rowOff>200025</xdr:rowOff>
                  </to>
                </anchor>
              </controlPr>
            </control>
          </mc:Choice>
        </mc:AlternateContent>
        <mc:AlternateContent xmlns:mc="http://schemas.openxmlformats.org/markup-compatibility/2006">
          <mc:Choice Requires="x14">
            <control shapeId="3099" r:id="rId13" name="Option Button 27">
              <controlPr defaultSize="0" autoFill="0" autoLine="0" autoPict="0" macro="[0]!msgbox2">
                <anchor moveWithCells="1">
                  <from>
                    <xdr:col>10</xdr:col>
                    <xdr:colOff>47625</xdr:colOff>
                    <xdr:row>20</xdr:row>
                    <xdr:rowOff>190500</xdr:rowOff>
                  </from>
                  <to>
                    <xdr:col>11</xdr:col>
                    <xdr:colOff>390525</xdr:colOff>
                    <xdr:row>21</xdr:row>
                    <xdr:rowOff>200025</xdr:rowOff>
                  </to>
                </anchor>
              </controlPr>
            </control>
          </mc:Choice>
        </mc:AlternateContent>
        <mc:AlternateContent xmlns:mc="http://schemas.openxmlformats.org/markup-compatibility/2006">
          <mc:Choice Requires="x14">
            <control shapeId="3100" r:id="rId14" name="Button 28">
              <controlPr defaultSize="0" print="0" autoFill="0" autoPict="0" macro="[0]!form_open_login">
                <anchor moveWithCells="1" sizeWithCells="1">
                  <from>
                    <xdr:col>9</xdr:col>
                    <xdr:colOff>142875</xdr:colOff>
                    <xdr:row>65</xdr:row>
                    <xdr:rowOff>9525</xdr:rowOff>
                  </from>
                  <to>
                    <xdr:col>11</xdr:col>
                    <xdr:colOff>371475</xdr:colOff>
                    <xdr:row>67</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CC17-963E-48CF-8B2F-069B84814068}">
  <sheetPr codeName="Sheet5"/>
  <dimension ref="B3:O19"/>
  <sheetViews>
    <sheetView topLeftCell="H1" workbookViewId="0">
      <selection activeCell="R6" sqref="R6"/>
    </sheetView>
  </sheetViews>
  <sheetFormatPr defaultRowHeight="17.649999999999999" x14ac:dyDescent="0.7"/>
  <sheetData>
    <row r="3" spans="2:15" x14ac:dyDescent="0.7">
      <c r="B3" t="s">
        <v>98</v>
      </c>
      <c r="I3" t="s">
        <v>107</v>
      </c>
    </row>
    <row r="4" spans="2:15" ht="18.75" customHeight="1" x14ac:dyDescent="0.7">
      <c r="B4" s="98" t="s">
        <v>104</v>
      </c>
      <c r="C4" s="98"/>
      <c r="D4" s="98"/>
      <c r="E4" s="98"/>
      <c r="F4" s="98"/>
      <c r="G4" s="98"/>
      <c r="I4" s="98" t="s">
        <v>108</v>
      </c>
      <c r="J4" s="98"/>
      <c r="K4" s="98"/>
      <c r="L4" s="98"/>
      <c r="M4" s="98"/>
      <c r="N4" s="98"/>
      <c r="O4" s="98"/>
    </row>
    <row r="5" spans="2:15" x14ac:dyDescent="0.7">
      <c r="B5" s="98"/>
      <c r="C5" s="98"/>
      <c r="D5" s="98"/>
      <c r="E5" s="98"/>
      <c r="F5" s="98"/>
      <c r="G5" s="98"/>
      <c r="I5" s="98"/>
      <c r="J5" s="98"/>
      <c r="K5" s="98"/>
      <c r="L5" s="98"/>
      <c r="M5" s="98"/>
      <c r="N5" s="98"/>
      <c r="O5" s="98"/>
    </row>
    <row r="6" spans="2:15" x14ac:dyDescent="0.7">
      <c r="B6" s="98"/>
      <c r="C6" s="98"/>
      <c r="D6" s="98"/>
      <c r="E6" s="98"/>
      <c r="F6" s="98"/>
      <c r="G6" s="98"/>
      <c r="I6" s="98"/>
      <c r="J6" s="98"/>
      <c r="K6" s="98"/>
      <c r="L6" s="98"/>
      <c r="M6" s="98"/>
      <c r="N6" s="98"/>
      <c r="O6" s="98"/>
    </row>
    <row r="7" spans="2:15" x14ac:dyDescent="0.7">
      <c r="B7" s="98"/>
      <c r="C7" s="98"/>
      <c r="D7" s="98"/>
      <c r="E7" s="98"/>
      <c r="F7" s="98"/>
      <c r="G7" s="98"/>
      <c r="I7" s="98"/>
      <c r="J7" s="98"/>
      <c r="K7" s="98"/>
      <c r="L7" s="98"/>
      <c r="M7" s="98"/>
      <c r="N7" s="98"/>
      <c r="O7" s="98"/>
    </row>
    <row r="8" spans="2:15" x14ac:dyDescent="0.7">
      <c r="B8" s="98"/>
      <c r="C8" s="98"/>
      <c r="D8" s="98"/>
      <c r="E8" s="98"/>
      <c r="F8" s="98"/>
      <c r="G8" s="98"/>
      <c r="I8" s="98"/>
      <c r="J8" s="98"/>
      <c r="K8" s="98"/>
      <c r="L8" s="98"/>
      <c r="M8" s="98"/>
      <c r="N8" s="98"/>
      <c r="O8" s="98"/>
    </row>
    <row r="9" spans="2:15" x14ac:dyDescent="0.7">
      <c r="B9" s="98"/>
      <c r="C9" s="98"/>
      <c r="D9" s="98"/>
      <c r="E9" s="98"/>
      <c r="F9" s="98"/>
      <c r="G9" s="98"/>
      <c r="I9" s="98"/>
      <c r="J9" s="98"/>
      <c r="K9" s="98"/>
      <c r="L9" s="98"/>
      <c r="M9" s="98"/>
      <c r="N9" s="98"/>
      <c r="O9" s="98"/>
    </row>
    <row r="10" spans="2:15" x14ac:dyDescent="0.7">
      <c r="B10" s="98"/>
      <c r="C10" s="98"/>
      <c r="D10" s="98"/>
      <c r="E10" s="98"/>
      <c r="F10" s="98"/>
      <c r="G10" s="98"/>
      <c r="I10" s="98"/>
      <c r="J10" s="98"/>
      <c r="K10" s="98"/>
      <c r="L10" s="98"/>
      <c r="M10" s="98"/>
      <c r="N10" s="98"/>
      <c r="O10" s="98"/>
    </row>
    <row r="11" spans="2:15" x14ac:dyDescent="0.7">
      <c r="I11" s="98"/>
      <c r="J11" s="98"/>
      <c r="K11" s="98"/>
      <c r="L11" s="98"/>
      <c r="M11" s="98"/>
      <c r="N11" s="98"/>
      <c r="O11" s="98"/>
    </row>
    <row r="12" spans="2:15" x14ac:dyDescent="0.7">
      <c r="B12" t="s">
        <v>105</v>
      </c>
      <c r="I12" s="98"/>
      <c r="J12" s="98"/>
      <c r="K12" s="98"/>
      <c r="L12" s="98"/>
      <c r="M12" s="98"/>
      <c r="N12" s="98"/>
      <c r="O12" s="98"/>
    </row>
    <row r="13" spans="2:15" x14ac:dyDescent="0.7">
      <c r="B13" s="98" t="s">
        <v>106</v>
      </c>
      <c r="C13" s="98"/>
      <c r="D13" s="98"/>
      <c r="E13" s="98"/>
      <c r="F13" s="98"/>
      <c r="G13" s="98"/>
      <c r="I13" s="98"/>
      <c r="J13" s="98"/>
      <c r="K13" s="98"/>
      <c r="L13" s="98"/>
      <c r="M13" s="98"/>
      <c r="N13" s="98"/>
      <c r="O13" s="98"/>
    </row>
    <row r="14" spans="2:15" x14ac:dyDescent="0.7">
      <c r="B14" s="98"/>
      <c r="C14" s="98"/>
      <c r="D14" s="98"/>
      <c r="E14" s="98"/>
      <c r="F14" s="98"/>
      <c r="G14" s="98"/>
      <c r="I14" s="98"/>
      <c r="J14" s="98"/>
      <c r="K14" s="98"/>
      <c r="L14" s="98"/>
      <c r="M14" s="98"/>
      <c r="N14" s="98"/>
      <c r="O14" s="98"/>
    </row>
    <row r="15" spans="2:15" x14ac:dyDescent="0.7">
      <c r="B15" s="98"/>
      <c r="C15" s="98"/>
      <c r="D15" s="98"/>
      <c r="E15" s="98"/>
      <c r="F15" s="98"/>
      <c r="G15" s="98"/>
    </row>
    <row r="16" spans="2:15" x14ac:dyDescent="0.7">
      <c r="B16" s="98"/>
      <c r="C16" s="98"/>
      <c r="D16" s="98"/>
      <c r="E16" s="98"/>
      <c r="F16" s="98"/>
      <c r="G16" s="98"/>
    </row>
    <row r="17" spans="2:7" x14ac:dyDescent="0.7">
      <c r="B17" s="98"/>
      <c r="C17" s="98"/>
      <c r="D17" s="98"/>
      <c r="E17" s="98"/>
      <c r="F17" s="98"/>
      <c r="G17" s="98"/>
    </row>
    <row r="18" spans="2:7" x14ac:dyDescent="0.7">
      <c r="B18" s="98"/>
      <c r="C18" s="98"/>
      <c r="D18" s="98"/>
      <c r="E18" s="98"/>
      <c r="F18" s="98"/>
      <c r="G18" s="98"/>
    </row>
    <row r="19" spans="2:7" x14ac:dyDescent="0.7">
      <c r="B19" s="98"/>
      <c r="C19" s="98"/>
      <c r="D19" s="98"/>
      <c r="E19" s="98"/>
      <c r="F19" s="98"/>
      <c r="G19" s="98"/>
    </row>
  </sheetData>
  <mergeCells count="3">
    <mergeCell ref="B4:G10"/>
    <mergeCell ref="B13:G19"/>
    <mergeCell ref="I4:O14"/>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11497-0F0F-4354-8DC4-662523A8B3E4}">
  <sheetPr codeName="Sheet15"/>
  <dimension ref="A1"/>
  <sheetViews>
    <sheetView workbookViewId="0"/>
  </sheetViews>
  <sheetFormatPr defaultRowHeight="17.649999999999999" x14ac:dyDescent="0.7"/>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D8532B83F077D64CACAE2A724B4578BE" ma:contentTypeVersion="5" ma:contentTypeDescription="新しいドキュメントを作成します。" ma:contentTypeScope="" ma:versionID="fcc3f0550792a85435033c7731ca4763">
  <xsd:schema xmlns:xsd="http://www.w3.org/2001/XMLSchema" xmlns:xs="http://www.w3.org/2001/XMLSchema" xmlns:p="http://schemas.microsoft.com/office/2006/metadata/properties" xmlns:ns3="661411b1-f4b8-495c-9a00-e7fa1eef5cbd" xmlns:ns4="0ab37582-c16a-472e-adc7-5ea956b371ce" targetNamespace="http://schemas.microsoft.com/office/2006/metadata/properties" ma:root="true" ma:fieldsID="79713c6bf475ddfb79a3c3b42505911f" ns3:_="" ns4:_="">
    <xsd:import namespace="661411b1-f4b8-495c-9a00-e7fa1eef5cbd"/>
    <xsd:import namespace="0ab37582-c16a-472e-adc7-5ea956b371c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1411b1-f4b8-495c-9a00-e7fa1eef5c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b37582-c16a-472e-adc7-5ea956b371ce"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09283E3-00BB-4BC3-A3BA-5D9BC5A3615D}">
  <ds:schemaRefs>
    <ds:schemaRef ds:uri="http://schemas.microsoft.com/sharepoint/v3/contenttype/forms"/>
  </ds:schemaRefs>
</ds:datastoreItem>
</file>

<file path=customXml/itemProps2.xml><?xml version="1.0" encoding="utf-8"?>
<ds:datastoreItem xmlns:ds="http://schemas.openxmlformats.org/officeDocument/2006/customXml" ds:itemID="{681BB891-A98B-434B-8FF3-B1B889F4F605}">
  <ds:schemaRefs>
    <ds:schemaRef ds:uri="http://schemas.microsoft.com/office/infopath/2007/PartnerControls"/>
    <ds:schemaRef ds:uri="0ab37582-c16a-472e-adc7-5ea956b371c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purl.org/dc/dcmitype/"/>
    <ds:schemaRef ds:uri="661411b1-f4b8-495c-9a00-e7fa1eef5cbd"/>
    <ds:schemaRef ds:uri="http://www.w3.org/XML/1998/namespace"/>
    <ds:schemaRef ds:uri="http://purl.org/dc/elements/1.1/"/>
  </ds:schemaRefs>
</ds:datastoreItem>
</file>

<file path=customXml/itemProps3.xml><?xml version="1.0" encoding="utf-8"?>
<ds:datastoreItem xmlns:ds="http://schemas.openxmlformats.org/officeDocument/2006/customXml" ds:itemID="{932A0816-7C40-4C22-B6C9-4298EBB02B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1411b1-f4b8-495c-9a00-e7fa1eef5cbd"/>
    <ds:schemaRef ds:uri="0ab37582-c16a-472e-adc7-5ea956b371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明日の授業</vt:lpstr>
      <vt:lpstr>今日の授業</vt:lpstr>
      <vt:lpstr>ツール</vt:lpstr>
      <vt:lpstr>授業評価</vt:lpstr>
      <vt:lpstr>国語</vt:lpstr>
      <vt:lpstr>数学</vt:lpstr>
      <vt:lpstr>設定</vt:lpstr>
      <vt:lpstr>仕組みメモ</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chirk</dc:creator>
  <cp:keywords/>
  <dc:description/>
  <cp:lastModifiedBy>deborah joseph</cp:lastModifiedBy>
  <cp:revision/>
  <dcterms:created xsi:type="dcterms:W3CDTF">2022-06-02T11:30:16Z</dcterms:created>
  <dcterms:modified xsi:type="dcterms:W3CDTF">2022-06-18T02:36:21Z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0x010100D8532B83F077D64CACAE2A724B4578BE</vt:lpwstr>
  </property>
  <property fmtid="{D5CDD505-2E9C-101B-9397-08002B2CF9AE}" pid="3" name="MediaServiceImageTags">
    <vt:lpwstr/>
  </property>
</Properties>
</file>